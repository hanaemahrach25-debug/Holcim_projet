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4b575c0077f5f/Desktop/"/>
    </mc:Choice>
  </mc:AlternateContent>
  <xr:revisionPtr revIDLastSave="14" documentId="13_ncr:1_{B1A677A2-9125-4ED4-8751-9428277828B3}" xr6:coauthVersionLast="47" xr6:coauthVersionMax="47" xr10:uidLastSave="{31249905-BFD8-4041-8D3B-2F8944EC5D9D}"/>
  <bookViews>
    <workbookView xWindow="-120" yWindow="-120" windowWidth="24240" windowHeight="13020" xr2:uid="{EBF6E0BC-5DD0-468A-BC0E-169BCD1B8D76}"/>
  </bookViews>
  <sheets>
    <sheet name="Feuil1" sheetId="1" r:id="rId1"/>
    <sheet name="Graphiques Analyse" sheetId="2" r:id="rId2"/>
    <sheet name="Feuille de calcu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N5" i="3"/>
  <c r="M5" i="3"/>
  <c r="L5" i="3"/>
  <c r="K5" i="3"/>
  <c r="O4" i="3"/>
  <c r="O6" i="3" s="1"/>
  <c r="N4" i="3"/>
  <c r="M4" i="3"/>
  <c r="M7" i="3" s="1"/>
  <c r="L4" i="3"/>
  <c r="L6" i="3" s="1"/>
  <c r="K4" i="3"/>
  <c r="K7" i="3" s="1"/>
  <c r="J5" i="3"/>
  <c r="I5" i="3"/>
  <c r="H5" i="3"/>
  <c r="G5" i="3"/>
  <c r="F5" i="3"/>
  <c r="E5" i="3"/>
  <c r="D5" i="3"/>
  <c r="C5" i="3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8" i="1"/>
  <c r="S29" i="1"/>
  <c r="S30" i="1"/>
  <c r="S31" i="1"/>
  <c r="S32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7" i="1"/>
  <c r="H28" i="1"/>
  <c r="H29" i="1"/>
  <c r="H30" i="1"/>
  <c r="H31" i="1"/>
  <c r="H32" i="1"/>
  <c r="H10" i="1"/>
  <c r="J10" i="1"/>
  <c r="L10" i="1"/>
  <c r="O10" i="1"/>
  <c r="Q10" i="1"/>
  <c r="S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U38" i="1"/>
  <c r="U37" i="1"/>
  <c r="U36" i="1"/>
  <c r="U35" i="1"/>
  <c r="Q38" i="1"/>
  <c r="Q37" i="1"/>
  <c r="Q36" i="1"/>
  <c r="Q35" i="1"/>
  <c r="O38" i="1"/>
  <c r="O37" i="1"/>
  <c r="O36" i="1"/>
  <c r="O35" i="1"/>
  <c r="L38" i="1"/>
  <c r="L37" i="1"/>
  <c r="L36" i="1"/>
  <c r="L35" i="1"/>
  <c r="J38" i="1"/>
  <c r="J37" i="1"/>
  <c r="J36" i="1"/>
  <c r="J35" i="1"/>
  <c r="F38" i="1"/>
  <c r="F37" i="1"/>
  <c r="F36" i="1"/>
  <c r="F35" i="1"/>
  <c r="U10" i="1"/>
  <c r="M30" i="1"/>
  <c r="M26" i="1"/>
  <c r="M22" i="1"/>
  <c r="M17" i="1"/>
  <c r="M15" i="1"/>
  <c r="M13" i="1"/>
  <c r="F10" i="1"/>
  <c r="V32" i="1"/>
  <c r="V31" i="1"/>
  <c r="V30" i="1"/>
  <c r="V29" i="1"/>
  <c r="V28" i="1"/>
  <c r="V27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M10" i="1"/>
  <c r="M11" i="1"/>
  <c r="M12" i="1"/>
  <c r="M14" i="1"/>
  <c r="M16" i="1"/>
  <c r="M18" i="1"/>
  <c r="M19" i="1"/>
  <c r="M20" i="1"/>
  <c r="M21" i="1"/>
  <c r="M23" i="1"/>
  <c r="M24" i="1"/>
  <c r="M27" i="1"/>
  <c r="M28" i="1"/>
  <c r="M29" i="1"/>
  <c r="M31" i="1"/>
  <c r="M32" i="1"/>
  <c r="M9" i="1"/>
  <c r="R26" i="1"/>
  <c r="V26" i="1" s="1"/>
  <c r="G25" i="1"/>
  <c r="H37" i="1" s="1"/>
  <c r="F4" i="3" l="1"/>
  <c r="F7" i="3" s="1"/>
  <c r="S26" i="1"/>
  <c r="K6" i="3"/>
  <c r="K9" i="3" s="1"/>
  <c r="L7" i="3"/>
  <c r="J4" i="3"/>
  <c r="J7" i="3" s="1"/>
  <c r="O9" i="3"/>
  <c r="H4" i="3"/>
  <c r="H6" i="3" s="1"/>
  <c r="H25" i="1"/>
  <c r="S27" i="1"/>
  <c r="O7" i="3"/>
  <c r="E4" i="3"/>
  <c r="E7" i="3" s="1"/>
  <c r="H26" i="1"/>
  <c r="D4" i="3" s="1"/>
  <c r="N8" i="3"/>
  <c r="C4" i="3"/>
  <c r="C6" i="3" s="1"/>
  <c r="G4" i="3"/>
  <c r="G7" i="3" s="1"/>
  <c r="L9" i="3"/>
  <c r="N6" i="3"/>
  <c r="N9" i="3" s="1"/>
  <c r="L8" i="3"/>
  <c r="M6" i="3"/>
  <c r="M9" i="3" s="1"/>
  <c r="N7" i="3"/>
  <c r="O8" i="3"/>
  <c r="K8" i="3"/>
  <c r="M8" i="3"/>
  <c r="J8" i="3"/>
  <c r="J6" i="3"/>
  <c r="J9" i="3" s="1"/>
  <c r="F6" i="3"/>
  <c r="F9" i="3" s="1"/>
  <c r="F8" i="3"/>
  <c r="E6" i="3"/>
  <c r="E9" i="3" s="1"/>
  <c r="H38" i="1"/>
  <c r="S35" i="1"/>
  <c r="S37" i="1"/>
  <c r="S38" i="1"/>
  <c r="H35" i="1"/>
  <c r="H36" i="1"/>
  <c r="S36" i="1"/>
  <c r="M25" i="1"/>
  <c r="I4" i="3" l="1"/>
  <c r="I7" i="3" s="1"/>
  <c r="G8" i="3"/>
  <c r="C8" i="3"/>
  <c r="E8" i="3"/>
  <c r="G6" i="3"/>
  <c r="G9" i="3" s="1"/>
  <c r="D6" i="3"/>
  <c r="D8" i="3"/>
  <c r="D7" i="3"/>
  <c r="C7" i="3"/>
  <c r="C9" i="3" s="1"/>
  <c r="H8" i="3"/>
  <c r="H7" i="3"/>
  <c r="H9" i="3" s="1"/>
  <c r="I8" i="3" l="1"/>
  <c r="I6" i="3"/>
  <c r="I9" i="3" s="1"/>
  <c r="D9" i="3"/>
</calcChain>
</file>

<file path=xl/sharedStrings.xml><?xml version="1.0" encoding="utf-8"?>
<sst xmlns="http://schemas.openxmlformats.org/spreadsheetml/2006/main" count="92" uniqueCount="32">
  <si>
    <t>55 cal S1</t>
  </si>
  <si>
    <t>CPJ45 S2</t>
  </si>
  <si>
    <t>55 PM S3</t>
  </si>
  <si>
    <t>CPJ55 Cal S4</t>
  </si>
  <si>
    <t>DWAM 55</t>
  </si>
  <si>
    <t>Perfecto tn</t>
  </si>
  <si>
    <t>SWARI CPJ45</t>
  </si>
  <si>
    <t>CPJ 55 PM</t>
  </si>
  <si>
    <t>Incuit 1</t>
  </si>
  <si>
    <t>Incuit 2</t>
  </si>
  <si>
    <t>Stock Clinker</t>
  </si>
  <si>
    <t>Total</t>
  </si>
  <si>
    <t>Variation quotidienne</t>
  </si>
  <si>
    <t>SILIOS (T)</t>
  </si>
  <si>
    <t xml:space="preserve"> PALETTE CG (T)</t>
  </si>
  <si>
    <t>CLINKER (m)</t>
  </si>
  <si>
    <t>Stock</t>
  </si>
  <si>
    <t>Min</t>
  </si>
  <si>
    <t>Max</t>
  </si>
  <si>
    <t>Moyenne</t>
  </si>
  <si>
    <t>Ecartype</t>
  </si>
  <si>
    <t>Produit</t>
  </si>
  <si>
    <t>Conso moy/jour</t>
  </si>
  <si>
    <t>Stock actuel</t>
  </si>
  <si>
    <t>Stock minimum</t>
  </si>
  <si>
    <t>Stock sécurité</t>
  </si>
  <si>
    <t>Couverture (jours)</t>
  </si>
  <si>
    <t>Alerte</t>
  </si>
  <si>
    <t>Perfecto</t>
  </si>
  <si>
    <t>Le délai de réapprovisionnement</t>
  </si>
  <si>
    <t>Silo 1</t>
  </si>
  <si>
    <t>Silo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</si>
</sst>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Comic Sans MS"/>
      <family val="4"/>
    </font>
    <font>
      <b/>
      <sz val="14"/>
      <color theme="1"/>
      <name val="Comic Sans MS"/>
      <family val="4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rgb="FF000000"/>
      </right>
      <top style="thick">
        <color auto="1"/>
      </top>
      <bottom style="medium">
        <color rgb="FFCCCCCC"/>
      </bottom>
      <diagonal/>
    </border>
    <border>
      <left style="thick">
        <color rgb="FF000000"/>
      </left>
      <right/>
      <top style="thick">
        <color auto="1"/>
      </top>
      <bottom style="thick">
        <color rgb="FF000000"/>
      </bottom>
      <diagonal/>
    </border>
    <border>
      <left/>
      <right/>
      <top style="thick">
        <color auto="1"/>
      </top>
      <bottom style="thick">
        <color rgb="FF000000"/>
      </bottom>
      <diagonal/>
    </border>
    <border>
      <left style="thick">
        <color auto="1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auto="1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auto="1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auto="1"/>
      </right>
      <top/>
      <bottom style="medium">
        <color rgb="FF000000"/>
      </bottom>
      <diagonal/>
    </border>
    <border>
      <left style="thick">
        <color auto="1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auto="1"/>
      </left>
      <right style="thick">
        <color rgb="FF000000"/>
      </right>
      <top style="medium">
        <color rgb="FFCCCCCC"/>
      </top>
      <bottom style="thick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auto="1"/>
      </bottom>
      <diagonal/>
    </border>
    <border>
      <left style="thin">
        <color indexed="64"/>
      </left>
      <right/>
      <top style="medium">
        <color rgb="FFCCCCCC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rgb="FF000000"/>
      </right>
      <top/>
      <bottom style="thick">
        <color auto="1"/>
      </bottom>
      <diagonal/>
    </border>
    <border>
      <left/>
      <right style="medium">
        <color rgb="FF000000"/>
      </right>
      <top style="medium">
        <color rgb="FFCCCCCC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auto="1"/>
      </bottom>
      <diagonal/>
    </border>
    <border>
      <left style="medium">
        <color rgb="FF000000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2" fontId="2" fillId="8" borderId="2" xfId="0" applyNumberFormat="1" applyFont="1" applyFill="1" applyBorder="1" applyAlignment="1">
      <alignment horizontal="center" vertical="center" wrapText="1"/>
    </xf>
    <xf numFmtId="2" fontId="2" fillId="8" borderId="5" xfId="0" applyNumberFormat="1" applyFont="1" applyFill="1" applyBorder="1" applyAlignment="1">
      <alignment horizontal="center" vertical="center" wrapText="1"/>
    </xf>
    <xf numFmtId="2" fontId="2" fillId="8" borderId="6" xfId="0" applyNumberFormat="1" applyFont="1" applyFill="1" applyBorder="1" applyAlignment="1">
      <alignment horizontal="center" vertical="center" wrapText="1"/>
    </xf>
    <xf numFmtId="0" fontId="0" fillId="0" borderId="8" xfId="0" applyBorder="1"/>
    <xf numFmtId="2" fontId="2" fillId="8" borderId="9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2" fillId="8" borderId="12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2" fontId="2" fillId="8" borderId="14" xfId="0" applyNumberFormat="1" applyFont="1" applyFill="1" applyBorder="1" applyAlignment="1">
      <alignment horizontal="center" vertical="center" wrapText="1"/>
    </xf>
    <xf numFmtId="2" fontId="2" fillId="8" borderId="15" xfId="0" applyNumberFormat="1" applyFont="1" applyFill="1" applyBorder="1" applyAlignment="1">
      <alignment horizontal="center" vertical="center" wrapText="1"/>
    </xf>
    <xf numFmtId="2" fontId="2" fillId="8" borderId="7" xfId="0" applyNumberFormat="1" applyFont="1" applyFill="1" applyBorder="1" applyAlignment="1">
      <alignment horizontal="center" vertical="center" wrapText="1"/>
    </xf>
    <xf numFmtId="2" fontId="2" fillId="8" borderId="16" xfId="0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2" fontId="2" fillId="8" borderId="4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2" fontId="2" fillId="9" borderId="7" xfId="0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6" xfId="0" applyBorder="1"/>
    <xf numFmtId="0" fontId="0" fillId="0" borderId="28" xfId="0" applyBorder="1"/>
    <xf numFmtId="2" fontId="0" fillId="0" borderId="29" xfId="0" applyNumberFormat="1" applyBorder="1"/>
    <xf numFmtId="2" fontId="0" fillId="0" borderId="25" xfId="0" applyNumberFormat="1" applyBorder="1"/>
    <xf numFmtId="2" fontId="0" fillId="0" borderId="27" xfId="0" applyNumberFormat="1" applyBorder="1"/>
    <xf numFmtId="2" fontId="5" fillId="0" borderId="32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2" fontId="5" fillId="0" borderId="34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/>
    </xf>
    <xf numFmtId="2" fontId="5" fillId="0" borderId="38" xfId="0" applyNumberFormat="1" applyFont="1" applyBorder="1" applyAlignment="1">
      <alignment horizontal="center" vertical="center"/>
    </xf>
    <xf numFmtId="2" fontId="5" fillId="0" borderId="39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2" fontId="5" fillId="0" borderId="51" xfId="0" applyNumberFormat="1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2" fontId="5" fillId="0" borderId="53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3" fillId="3" borderId="1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1" fillId="0" borderId="55" xfId="0" applyFont="1" applyBorder="1" applyAlignment="1">
      <alignment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vertical="center" wrapText="1"/>
    </xf>
    <xf numFmtId="0" fontId="2" fillId="3" borderId="33" xfId="0" applyFont="1" applyFill="1" applyBorder="1" applyAlignment="1">
      <alignment horizontal="center" vertical="center" wrapText="1"/>
    </xf>
    <xf numFmtId="14" fontId="2" fillId="7" borderId="60" xfId="0" applyNumberFormat="1" applyFont="1" applyFill="1" applyBorder="1" applyAlignment="1">
      <alignment horizontal="center" vertical="center" wrapText="1"/>
    </xf>
    <xf numFmtId="2" fontId="2" fillId="8" borderId="61" xfId="0" applyNumberFormat="1" applyFont="1" applyFill="1" applyBorder="1" applyAlignment="1">
      <alignment horizontal="center" vertical="center" wrapText="1"/>
    </xf>
    <xf numFmtId="14" fontId="2" fillId="7" borderId="62" xfId="0" applyNumberFormat="1" applyFont="1" applyFill="1" applyBorder="1" applyAlignment="1">
      <alignment horizontal="center" vertical="center" wrapText="1"/>
    </xf>
    <xf numFmtId="14" fontId="2" fillId="7" borderId="63" xfId="0" applyNumberFormat="1" applyFont="1" applyFill="1" applyBorder="1" applyAlignment="1">
      <alignment horizontal="center" vertical="center" wrapText="1"/>
    </xf>
    <xf numFmtId="2" fontId="2" fillId="8" borderId="64" xfId="0" applyNumberFormat="1" applyFont="1" applyFill="1" applyBorder="1" applyAlignment="1">
      <alignment horizontal="center" vertical="center" wrapText="1"/>
    </xf>
    <xf numFmtId="2" fontId="2" fillId="8" borderId="65" xfId="0" applyNumberFormat="1" applyFont="1" applyFill="1" applyBorder="1" applyAlignment="1">
      <alignment horizontal="center" vertical="center" wrapText="1"/>
    </xf>
    <xf numFmtId="2" fontId="2" fillId="8" borderId="66" xfId="0" applyNumberFormat="1" applyFont="1" applyFill="1" applyBorder="1" applyAlignment="1">
      <alignment horizontal="center" vertical="center" wrapText="1"/>
    </xf>
    <xf numFmtId="2" fontId="2" fillId="8" borderId="67" xfId="0" applyNumberFormat="1" applyFont="1" applyFill="1" applyBorder="1" applyAlignment="1">
      <alignment horizontal="center" vertical="center" wrapText="1"/>
    </xf>
    <xf numFmtId="2" fontId="2" fillId="8" borderId="68" xfId="0" applyNumberFormat="1" applyFont="1" applyFill="1" applyBorder="1" applyAlignment="1">
      <alignment horizontal="center" vertical="center" wrapText="1"/>
    </xf>
    <xf numFmtId="2" fontId="2" fillId="8" borderId="69" xfId="0" applyNumberFormat="1" applyFont="1" applyFill="1" applyBorder="1" applyAlignment="1">
      <alignment horizontal="center" vertical="center" wrapText="1"/>
    </xf>
    <xf numFmtId="2" fontId="2" fillId="9" borderId="66" xfId="0" applyNumberFormat="1" applyFont="1" applyFill="1" applyBorder="1" applyAlignment="1">
      <alignment horizontal="center" vertical="center" wrapText="1"/>
    </xf>
    <xf numFmtId="2" fontId="2" fillId="8" borderId="7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rgb="FFDEA90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DEA900"/>
      <color rgb="FFFFF2CC"/>
      <color rgb="FF6D9EEB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600" b="1" i="0" u="none" strike="noStrike" baseline="0">
                <a:solidFill>
                  <a:sysClr val="windowText" lastClr="000000"/>
                </a:solidFill>
              </a:rPr>
              <a:t>Évolution des stocks Silos-Avril 2026 </a:t>
            </a:r>
            <a:endParaRPr lang="fr-BE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>
        <c:manualLayout>
          <c:layoutTarget val="inner"/>
          <c:xMode val="edge"/>
          <c:yMode val="edge"/>
          <c:x val="7.0776931448213926E-2"/>
          <c:y val="0.10860543906473369"/>
          <c:w val="0.91335675535825955"/>
          <c:h val="0.71003702917797129"/>
        </c:manualLayout>
      </c:layout>
      <c:lineChart>
        <c:grouping val="stacked"/>
        <c:varyColors val="0"/>
        <c:ser>
          <c:idx val="8"/>
          <c:order val="0"/>
          <c:tx>
            <c:v>55 cal S1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Feuil1!$E$9:$E$32</c:f>
              <c:numCache>
                <c:formatCode>0.00</c:formatCode>
                <c:ptCount val="24"/>
                <c:pt idx="0">
                  <c:v>3774</c:v>
                </c:pt>
                <c:pt idx="1">
                  <c:v>3315</c:v>
                </c:pt>
                <c:pt idx="2">
                  <c:v>2856</c:v>
                </c:pt>
                <c:pt idx="3">
                  <c:v>2397</c:v>
                </c:pt>
                <c:pt idx="4">
                  <c:v>1364</c:v>
                </c:pt>
                <c:pt idx="5">
                  <c:v>2512</c:v>
                </c:pt>
                <c:pt idx="6">
                  <c:v>3200</c:v>
                </c:pt>
                <c:pt idx="7">
                  <c:v>3544</c:v>
                </c:pt>
                <c:pt idx="8">
                  <c:v>2971</c:v>
                </c:pt>
                <c:pt idx="9">
                  <c:v>1938</c:v>
                </c:pt>
                <c:pt idx="10">
                  <c:v>1137</c:v>
                </c:pt>
                <c:pt idx="11">
                  <c:v>809</c:v>
                </c:pt>
                <c:pt idx="12">
                  <c:v>0</c:v>
                </c:pt>
                <c:pt idx="13">
                  <c:v>1025</c:v>
                </c:pt>
                <c:pt idx="14">
                  <c:v>707</c:v>
                </c:pt>
                <c:pt idx="15">
                  <c:v>1823</c:v>
                </c:pt>
                <c:pt idx="16">
                  <c:v>1709</c:v>
                </c:pt>
                <c:pt idx="17">
                  <c:v>1346</c:v>
                </c:pt>
                <c:pt idx="18">
                  <c:v>1250</c:v>
                </c:pt>
                <c:pt idx="19">
                  <c:v>1250</c:v>
                </c:pt>
                <c:pt idx="20">
                  <c:v>426</c:v>
                </c:pt>
                <c:pt idx="21">
                  <c:v>0</c:v>
                </c:pt>
                <c:pt idx="22">
                  <c:v>2282</c:v>
                </c:pt>
                <c:pt idx="23">
                  <c:v>2626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C-4F22-A33B-C6DA6482485F}"/>
            </c:ext>
          </c:extLst>
        </c:ser>
        <c:ser>
          <c:idx val="0"/>
          <c:order val="1"/>
          <c:tx>
            <c:v>CPJ45 S2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Feuil1!$G$9:$G$32</c:f>
              <c:numCache>
                <c:formatCode>0.00</c:formatCode>
                <c:ptCount val="24"/>
                <c:pt idx="0">
                  <c:v>4497</c:v>
                </c:pt>
                <c:pt idx="1">
                  <c:v>4384</c:v>
                </c:pt>
                <c:pt idx="2">
                  <c:v>3708</c:v>
                </c:pt>
                <c:pt idx="3">
                  <c:v>2806</c:v>
                </c:pt>
                <c:pt idx="4">
                  <c:v>4159</c:v>
                </c:pt>
                <c:pt idx="5">
                  <c:v>2693</c:v>
                </c:pt>
                <c:pt idx="6">
                  <c:v>2017</c:v>
                </c:pt>
                <c:pt idx="7">
                  <c:v>1228</c:v>
                </c:pt>
                <c:pt idx="8">
                  <c:v>2017</c:v>
                </c:pt>
                <c:pt idx="9">
                  <c:v>1453</c:v>
                </c:pt>
                <c:pt idx="10">
                  <c:v>1007</c:v>
                </c:pt>
                <c:pt idx="11">
                  <c:v>2581</c:v>
                </c:pt>
                <c:pt idx="12">
                  <c:v>795</c:v>
                </c:pt>
                <c:pt idx="13">
                  <c:v>1679</c:v>
                </c:pt>
                <c:pt idx="14">
                  <c:v>597</c:v>
                </c:pt>
                <c:pt idx="15">
                  <c:v>88</c:v>
                </c:pt>
                <c:pt idx="16">
                  <c:v>58</c:v>
                </c:pt>
                <c:pt idx="17">
                  <c:v>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1453</c:v>
                </c:pt>
                <c:pt idx="23">
                  <c:v>1007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0C-4F22-A33B-C6DA6482485F}"/>
            </c:ext>
          </c:extLst>
        </c:ser>
        <c:ser>
          <c:idx val="1"/>
          <c:order val="2"/>
          <c:tx>
            <c:v>55 PM S3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Feuil1!$I$9:$I$32</c:f>
              <c:numCache>
                <c:formatCode>0.00</c:formatCode>
                <c:ptCount val="24"/>
                <c:pt idx="0">
                  <c:v>921</c:v>
                </c:pt>
                <c:pt idx="1">
                  <c:v>1031</c:v>
                </c:pt>
                <c:pt idx="2">
                  <c:v>711</c:v>
                </c:pt>
                <c:pt idx="3">
                  <c:v>2411</c:v>
                </c:pt>
                <c:pt idx="4">
                  <c:v>2411</c:v>
                </c:pt>
                <c:pt idx="5">
                  <c:v>1834</c:v>
                </c:pt>
                <c:pt idx="6">
                  <c:v>1372</c:v>
                </c:pt>
                <c:pt idx="7">
                  <c:v>1031</c:v>
                </c:pt>
                <c:pt idx="8">
                  <c:v>0</c:v>
                </c:pt>
                <c:pt idx="9">
                  <c:v>1949</c:v>
                </c:pt>
                <c:pt idx="10">
                  <c:v>814</c:v>
                </c:pt>
                <c:pt idx="11">
                  <c:v>2873</c:v>
                </c:pt>
                <c:pt idx="12">
                  <c:v>1488</c:v>
                </c:pt>
                <c:pt idx="13">
                  <c:v>814</c:v>
                </c:pt>
                <c:pt idx="14">
                  <c:v>814</c:v>
                </c:pt>
                <c:pt idx="15">
                  <c:v>48</c:v>
                </c:pt>
                <c:pt idx="16">
                  <c:v>1719</c:v>
                </c:pt>
                <c:pt idx="17">
                  <c:v>1257</c:v>
                </c:pt>
                <c:pt idx="18">
                  <c:v>428</c:v>
                </c:pt>
                <c:pt idx="19">
                  <c:v>0</c:v>
                </c:pt>
                <c:pt idx="20">
                  <c:v>814</c:v>
                </c:pt>
                <c:pt idx="21">
                  <c:v>90</c:v>
                </c:pt>
                <c:pt idx="22">
                  <c:v>2065</c:v>
                </c:pt>
                <c:pt idx="23">
                  <c:v>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0C-4F22-A33B-C6DA6482485F}"/>
            </c:ext>
          </c:extLst>
        </c:ser>
        <c:ser>
          <c:idx val="4"/>
          <c:order val="3"/>
          <c:tx>
            <c:v>CPJ55 Cal S4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Feuil1!$K$9:$K$32</c:f>
              <c:numCache>
                <c:formatCode>0.00</c:formatCode>
                <c:ptCount val="24"/>
                <c:pt idx="0">
                  <c:v>3659</c:v>
                </c:pt>
                <c:pt idx="1">
                  <c:v>4806</c:v>
                </c:pt>
                <c:pt idx="2">
                  <c:v>4691</c:v>
                </c:pt>
                <c:pt idx="3">
                  <c:v>3430</c:v>
                </c:pt>
                <c:pt idx="4">
                  <c:v>5265</c:v>
                </c:pt>
                <c:pt idx="5">
                  <c:v>4118</c:v>
                </c:pt>
                <c:pt idx="6">
                  <c:v>3774</c:v>
                </c:pt>
                <c:pt idx="7">
                  <c:v>3430</c:v>
                </c:pt>
                <c:pt idx="8">
                  <c:v>2741</c:v>
                </c:pt>
                <c:pt idx="9">
                  <c:v>2282</c:v>
                </c:pt>
                <c:pt idx="10">
                  <c:v>3888</c:v>
                </c:pt>
                <c:pt idx="11">
                  <c:v>2168</c:v>
                </c:pt>
                <c:pt idx="12">
                  <c:v>1938</c:v>
                </c:pt>
                <c:pt idx="13">
                  <c:v>1250</c:v>
                </c:pt>
                <c:pt idx="14">
                  <c:v>1137</c:v>
                </c:pt>
                <c:pt idx="15">
                  <c:v>1250</c:v>
                </c:pt>
                <c:pt idx="16">
                  <c:v>1938</c:v>
                </c:pt>
                <c:pt idx="17">
                  <c:v>2512</c:v>
                </c:pt>
                <c:pt idx="18">
                  <c:v>2397</c:v>
                </c:pt>
                <c:pt idx="19">
                  <c:v>2053</c:v>
                </c:pt>
                <c:pt idx="20">
                  <c:v>2168</c:v>
                </c:pt>
                <c:pt idx="21">
                  <c:v>2741</c:v>
                </c:pt>
                <c:pt idx="22">
                  <c:v>2626</c:v>
                </c:pt>
                <c:pt idx="23">
                  <c:v>2626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0C-4F22-A33B-C6DA64824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53327"/>
        <c:axId val="1072351407"/>
      </c:lineChart>
      <c:dateAx>
        <c:axId val="10723533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2351407"/>
        <c:crosses val="autoZero"/>
        <c:auto val="1"/>
        <c:lblOffset val="100"/>
        <c:baseTimeUnit val="days"/>
      </c:dateAx>
      <c:valAx>
        <c:axId val="10723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235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600" b="1" i="0" u="none" strike="noStrike" baseline="0">
                <a:solidFill>
                  <a:sysClr val="windowText" lastClr="000000"/>
                </a:solidFill>
              </a:rPr>
              <a:t>Évolution des stocks Palettes-Avril 2026 </a:t>
            </a:r>
            <a:endParaRPr lang="fr-BE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>
        <c:manualLayout>
          <c:layoutTarget val="inner"/>
          <c:xMode val="edge"/>
          <c:yMode val="edge"/>
          <c:x val="7.0776931448213926E-2"/>
          <c:y val="0.10860543906473369"/>
          <c:w val="0.91335675535825955"/>
          <c:h val="0.71003702917797129"/>
        </c:manualLayout>
      </c:layout>
      <c:lineChart>
        <c:grouping val="stacked"/>
        <c:varyColors val="0"/>
        <c:ser>
          <c:idx val="8"/>
          <c:order val="0"/>
          <c:tx>
            <c:v>DWAM 55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Feuil1!$N$9:$N$32</c:f>
              <c:numCache>
                <c:formatCode>0.00</c:formatCode>
                <c:ptCount val="24"/>
                <c:pt idx="0">
                  <c:v>160</c:v>
                </c:pt>
                <c:pt idx="1">
                  <c:v>345</c:v>
                </c:pt>
                <c:pt idx="2">
                  <c:v>276</c:v>
                </c:pt>
                <c:pt idx="3">
                  <c:v>140</c:v>
                </c:pt>
                <c:pt idx="4">
                  <c:v>206</c:v>
                </c:pt>
                <c:pt idx="5">
                  <c:v>227</c:v>
                </c:pt>
                <c:pt idx="6">
                  <c:v>205</c:v>
                </c:pt>
                <c:pt idx="7">
                  <c:v>400</c:v>
                </c:pt>
                <c:pt idx="8">
                  <c:v>371</c:v>
                </c:pt>
                <c:pt idx="9">
                  <c:v>679</c:v>
                </c:pt>
                <c:pt idx="10">
                  <c:v>303</c:v>
                </c:pt>
                <c:pt idx="11">
                  <c:v>440</c:v>
                </c:pt>
                <c:pt idx="12">
                  <c:v>108</c:v>
                </c:pt>
                <c:pt idx="13">
                  <c:v>182</c:v>
                </c:pt>
                <c:pt idx="14">
                  <c:v>155</c:v>
                </c:pt>
                <c:pt idx="15">
                  <c:v>143</c:v>
                </c:pt>
                <c:pt idx="16">
                  <c:v>168</c:v>
                </c:pt>
                <c:pt idx="17">
                  <c:v>368</c:v>
                </c:pt>
                <c:pt idx="18">
                  <c:v>222.5</c:v>
                </c:pt>
                <c:pt idx="19">
                  <c:v>223</c:v>
                </c:pt>
                <c:pt idx="20">
                  <c:v>472</c:v>
                </c:pt>
                <c:pt idx="21">
                  <c:v>786</c:v>
                </c:pt>
                <c:pt idx="22">
                  <c:v>283</c:v>
                </c:pt>
                <c:pt idx="23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8-4765-A247-1D04FAB580C8}"/>
            </c:ext>
          </c:extLst>
        </c:ser>
        <c:ser>
          <c:idx val="0"/>
          <c:order val="1"/>
          <c:tx>
            <c:v>Perfecto tn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Feuil1!$P$9:$P$32</c:f>
              <c:numCache>
                <c:formatCode>0.00</c:formatCode>
                <c:ptCount val="24"/>
                <c:pt idx="0">
                  <c:v>191</c:v>
                </c:pt>
                <c:pt idx="1">
                  <c:v>123</c:v>
                </c:pt>
                <c:pt idx="2">
                  <c:v>176.38</c:v>
                </c:pt>
                <c:pt idx="3">
                  <c:v>208.78</c:v>
                </c:pt>
                <c:pt idx="4">
                  <c:v>251.5</c:v>
                </c:pt>
                <c:pt idx="5">
                  <c:v>215</c:v>
                </c:pt>
                <c:pt idx="6">
                  <c:v>236.83</c:v>
                </c:pt>
                <c:pt idx="7">
                  <c:v>0</c:v>
                </c:pt>
                <c:pt idx="8">
                  <c:v>239.53</c:v>
                </c:pt>
                <c:pt idx="9">
                  <c:v>252.35</c:v>
                </c:pt>
                <c:pt idx="10">
                  <c:v>172.93</c:v>
                </c:pt>
                <c:pt idx="11">
                  <c:v>211.63</c:v>
                </c:pt>
                <c:pt idx="12">
                  <c:v>279.58</c:v>
                </c:pt>
                <c:pt idx="13">
                  <c:v>335.83</c:v>
                </c:pt>
                <c:pt idx="14">
                  <c:v>261.13</c:v>
                </c:pt>
                <c:pt idx="15">
                  <c:v>276.88</c:v>
                </c:pt>
                <c:pt idx="16">
                  <c:v>241</c:v>
                </c:pt>
                <c:pt idx="17">
                  <c:v>179.35</c:v>
                </c:pt>
                <c:pt idx="18">
                  <c:v>0</c:v>
                </c:pt>
                <c:pt idx="19">
                  <c:v>137.43</c:v>
                </c:pt>
                <c:pt idx="20">
                  <c:v>298.52999999999997</c:v>
                </c:pt>
                <c:pt idx="21">
                  <c:v>294.02999999999997</c:v>
                </c:pt>
                <c:pt idx="22">
                  <c:v>159.5</c:v>
                </c:pt>
                <c:pt idx="23">
                  <c:v>252.43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8-4765-A247-1D04FAB580C8}"/>
            </c:ext>
          </c:extLst>
        </c:ser>
        <c:ser>
          <c:idx val="1"/>
          <c:order val="2"/>
          <c:tx>
            <c:v>SWARI CPJ 45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Feuil1!$R$9:$R$32</c:f>
              <c:numCache>
                <c:formatCode>0.00</c:formatCode>
                <c:ptCount val="24"/>
                <c:pt idx="0">
                  <c:v>319</c:v>
                </c:pt>
                <c:pt idx="1">
                  <c:v>250</c:v>
                </c:pt>
                <c:pt idx="2">
                  <c:v>317.5</c:v>
                </c:pt>
                <c:pt idx="3">
                  <c:v>574</c:v>
                </c:pt>
                <c:pt idx="4">
                  <c:v>401</c:v>
                </c:pt>
                <c:pt idx="5">
                  <c:v>364</c:v>
                </c:pt>
                <c:pt idx="6">
                  <c:v>283</c:v>
                </c:pt>
                <c:pt idx="7">
                  <c:v>446</c:v>
                </c:pt>
                <c:pt idx="8">
                  <c:v>788</c:v>
                </c:pt>
                <c:pt idx="9">
                  <c:v>516</c:v>
                </c:pt>
                <c:pt idx="10">
                  <c:v>555</c:v>
                </c:pt>
                <c:pt idx="11">
                  <c:v>170</c:v>
                </c:pt>
                <c:pt idx="12">
                  <c:v>408</c:v>
                </c:pt>
                <c:pt idx="13">
                  <c:v>450</c:v>
                </c:pt>
                <c:pt idx="14">
                  <c:v>283</c:v>
                </c:pt>
                <c:pt idx="15">
                  <c:v>467</c:v>
                </c:pt>
                <c:pt idx="16">
                  <c:v>468</c:v>
                </c:pt>
                <c:pt idx="17">
                  <c:v>311.5</c:v>
                </c:pt>
                <c:pt idx="18">
                  <c:v>155</c:v>
                </c:pt>
                <c:pt idx="19">
                  <c:v>264</c:v>
                </c:pt>
                <c:pt idx="20">
                  <c:v>164</c:v>
                </c:pt>
                <c:pt idx="21">
                  <c:v>70</c:v>
                </c:pt>
                <c:pt idx="22">
                  <c:v>375</c:v>
                </c:pt>
                <c:pt idx="23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8-4765-A247-1D04FAB580C8}"/>
            </c:ext>
          </c:extLst>
        </c:ser>
        <c:ser>
          <c:idx val="4"/>
          <c:order val="3"/>
          <c:tx>
            <c:v>CPJ 55 PM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Feuil1!$T$9:$T$32</c:f>
              <c:numCache>
                <c:formatCode>0.00</c:formatCode>
                <c:ptCount val="24"/>
                <c:pt idx="0">
                  <c:v>41.85</c:v>
                </c:pt>
                <c:pt idx="1">
                  <c:v>32.4</c:v>
                </c:pt>
                <c:pt idx="2">
                  <c:v>26.55</c:v>
                </c:pt>
                <c:pt idx="3">
                  <c:v>26.55</c:v>
                </c:pt>
                <c:pt idx="4">
                  <c:v>26.55</c:v>
                </c:pt>
                <c:pt idx="5">
                  <c:v>17.100000000000001</c:v>
                </c:pt>
                <c:pt idx="6">
                  <c:v>17.100000000000001</c:v>
                </c:pt>
                <c:pt idx="7">
                  <c:v>14.18</c:v>
                </c:pt>
                <c:pt idx="8">
                  <c:v>109.68</c:v>
                </c:pt>
                <c:pt idx="9">
                  <c:v>90.78</c:v>
                </c:pt>
                <c:pt idx="10">
                  <c:v>84.93</c:v>
                </c:pt>
                <c:pt idx="11">
                  <c:v>75.48</c:v>
                </c:pt>
                <c:pt idx="12">
                  <c:v>75.48</c:v>
                </c:pt>
                <c:pt idx="13">
                  <c:v>64</c:v>
                </c:pt>
                <c:pt idx="14">
                  <c:v>64</c:v>
                </c:pt>
                <c:pt idx="15">
                  <c:v>52.53</c:v>
                </c:pt>
                <c:pt idx="16">
                  <c:v>47.58</c:v>
                </c:pt>
                <c:pt idx="17">
                  <c:v>47.58</c:v>
                </c:pt>
                <c:pt idx="18">
                  <c:v>137.9</c:v>
                </c:pt>
                <c:pt idx="19">
                  <c:v>137.9</c:v>
                </c:pt>
                <c:pt idx="20">
                  <c:v>132.05000000000001</c:v>
                </c:pt>
                <c:pt idx="21">
                  <c:v>132.05000000000001</c:v>
                </c:pt>
                <c:pt idx="22">
                  <c:v>132.05000000000001</c:v>
                </c:pt>
                <c:pt idx="23">
                  <c:v>122.6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8-4765-A247-1D04FAB5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53327"/>
        <c:axId val="1072351407"/>
      </c:lineChart>
      <c:dateAx>
        <c:axId val="10723533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2351407"/>
        <c:crosses val="autoZero"/>
        <c:auto val="1"/>
        <c:lblOffset val="100"/>
        <c:baseTimeUnit val="days"/>
      </c:dateAx>
      <c:valAx>
        <c:axId val="10723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235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 sz="1600" b="1" i="0" u="none" strike="noStrike" baseline="0">
                <a:solidFill>
                  <a:sysClr val="windowText" lastClr="000000"/>
                </a:solidFill>
              </a:rPr>
              <a:t>Évolution des stocks Clinker-Avril 2026 </a:t>
            </a:r>
            <a:endParaRPr lang="fr-BE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>
        <c:manualLayout>
          <c:layoutTarget val="inner"/>
          <c:xMode val="edge"/>
          <c:yMode val="edge"/>
          <c:x val="7.0776931448213926E-2"/>
          <c:y val="0.10860543906473369"/>
          <c:w val="0.91335675535825955"/>
          <c:h val="0.71003702917797129"/>
        </c:manualLayout>
      </c:layout>
      <c:lineChart>
        <c:grouping val="standard"/>
        <c:varyColors val="0"/>
        <c:ser>
          <c:idx val="8"/>
          <c:order val="0"/>
          <c:tx>
            <c:v>Silo 1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Feuil1!#REF!</c:f>
              <c:numCache>
                <c:formatCode>0.00</c:formatCode>
                <c:ptCount val="24"/>
                <c:pt idx="0">
                  <c:v>14</c:v>
                </c:pt>
                <c:pt idx="1">
                  <c:v>12.5</c:v>
                </c:pt>
                <c:pt idx="2">
                  <c:v>11</c:v>
                </c:pt>
                <c:pt idx="3">
                  <c:v>10.5</c:v>
                </c:pt>
                <c:pt idx="4">
                  <c:v>9.5</c:v>
                </c:pt>
                <c:pt idx="5">
                  <c:v>10</c:v>
                </c:pt>
                <c:pt idx="6">
                  <c:v>11.5</c:v>
                </c:pt>
                <c:pt idx="7">
                  <c:v>12</c:v>
                </c:pt>
                <c:pt idx="8">
                  <c:v>17</c:v>
                </c:pt>
                <c:pt idx="9">
                  <c:v>17.5</c:v>
                </c:pt>
                <c:pt idx="10">
                  <c:v>14.5</c:v>
                </c:pt>
                <c:pt idx="11">
                  <c:v>14</c:v>
                </c:pt>
                <c:pt idx="12">
                  <c:v>14</c:v>
                </c:pt>
                <c:pt idx="13">
                  <c:v>13.5</c:v>
                </c:pt>
                <c:pt idx="14">
                  <c:v>15.5</c:v>
                </c:pt>
                <c:pt idx="15">
                  <c:v>16.5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F-4064-BC9B-383BE44E3A0E}"/>
            </c:ext>
          </c:extLst>
        </c:ser>
        <c:ser>
          <c:idx val="0"/>
          <c:order val="1"/>
          <c:tx>
            <c:v>Incuit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Feuil1!#REF!</c:f>
              <c:numCache>
                <c:formatCode>0.00</c:formatCode>
                <c:ptCount val="24"/>
                <c:pt idx="0">
                  <c:v>6.5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6.5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6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8.5</c:v>
                </c:pt>
                <c:pt idx="19">
                  <c:v>8.5</c:v>
                </c:pt>
                <c:pt idx="20">
                  <c:v>8.5</c:v>
                </c:pt>
                <c:pt idx="21">
                  <c:v>7</c:v>
                </c:pt>
                <c:pt idx="22">
                  <c:v>3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F-4064-BC9B-383BE44E3A0E}"/>
            </c:ext>
          </c:extLst>
        </c:ser>
        <c:ser>
          <c:idx val="1"/>
          <c:order val="2"/>
          <c:tx>
            <c:v>Silo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Feuil1!#REF!</c:f>
              <c:numCache>
                <c:formatCode>0.00</c:formatCode>
                <c:ptCount val="24"/>
                <c:pt idx="0">
                  <c:v>22.5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23.5</c:v>
                </c:pt>
                <c:pt idx="5">
                  <c:v>24</c:v>
                </c:pt>
                <c:pt idx="6">
                  <c:v>25.5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28</c:v>
                </c:pt>
                <c:pt idx="12">
                  <c:v>28</c:v>
                </c:pt>
                <c:pt idx="13">
                  <c:v>29.5</c:v>
                </c:pt>
                <c:pt idx="14">
                  <c:v>30.5</c:v>
                </c:pt>
                <c:pt idx="15">
                  <c:v>30.5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35.5</c:v>
                </c:pt>
                <c:pt idx="22">
                  <c:v>35.5</c:v>
                </c:pt>
                <c:pt idx="2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F-4064-BC9B-383BE44E3A0E}"/>
            </c:ext>
          </c:extLst>
        </c:ser>
        <c:ser>
          <c:idx val="4"/>
          <c:order val="3"/>
          <c:tx>
            <c:v>Incuit 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Feuil1!#REF!</c:f>
              <c:numCache>
                <c:formatCode>0.00</c:formatCode>
                <c:ptCount val="24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  <c:pt idx="10">
                  <c:v>11.5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11.5</c:v>
                </c:pt>
                <c:pt idx="15">
                  <c:v>11.5</c:v>
                </c:pt>
                <c:pt idx="16">
                  <c:v>11.5</c:v>
                </c:pt>
                <c:pt idx="17">
                  <c:v>11.5</c:v>
                </c:pt>
                <c:pt idx="18">
                  <c:v>11.5</c:v>
                </c:pt>
                <c:pt idx="19">
                  <c:v>11.5</c:v>
                </c:pt>
                <c:pt idx="20">
                  <c:v>11.5</c:v>
                </c:pt>
                <c:pt idx="21">
                  <c:v>11.5</c:v>
                </c:pt>
                <c:pt idx="22">
                  <c:v>11.5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0F-4064-BC9B-383BE44E3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353327"/>
        <c:axId val="1072351407"/>
      </c:lineChart>
      <c:dateAx>
        <c:axId val="107235332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2351407"/>
        <c:crosses val="autoZero"/>
        <c:auto val="1"/>
        <c:lblOffset val="100"/>
        <c:baseTimeUnit val="days"/>
      </c:dateAx>
      <c:valAx>
        <c:axId val="10723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235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BE" sz="1800" b="1" i="0" u="none" strike="noStrike" kern="1200" spc="0" baseline="0">
                <a:solidFill>
                  <a:sysClr val="windowText" lastClr="000000"/>
                </a:solidFill>
              </a:rPr>
              <a:t>Évolution des stocks Clinker-Avril 2026 </a:t>
            </a:r>
          </a:p>
        </c:rich>
      </c:tx>
      <c:layout>
        <c:manualLayout>
          <c:xMode val="edge"/>
          <c:yMode val="edge"/>
          <c:x val="0.32820314148635488"/>
          <c:y val="2.0365031156894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Stock Clinker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Feuil1!$D$9:$D$32</c:f>
              <c:numCache>
                <c:formatCode>m/d/yyyy</c:formatCode>
                <c:ptCount val="2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46139</c:v>
                </c:pt>
                <c:pt idx="23">
                  <c:v>46140</c:v>
                </c:pt>
              </c:numCache>
            </c:numRef>
          </c:cat>
          <c:val>
            <c:numRef>
              <c:f>Feuil1!#REF!</c:f>
              <c:numCache>
                <c:formatCode>0.00</c:formatCode>
                <c:ptCount val="24"/>
                <c:pt idx="0">
                  <c:v>43500</c:v>
                </c:pt>
                <c:pt idx="1">
                  <c:v>44500</c:v>
                </c:pt>
                <c:pt idx="2">
                  <c:v>46000</c:v>
                </c:pt>
                <c:pt idx="3">
                  <c:v>46500</c:v>
                </c:pt>
                <c:pt idx="4">
                  <c:v>47000</c:v>
                </c:pt>
                <c:pt idx="5">
                  <c:v>46000</c:v>
                </c:pt>
                <c:pt idx="6">
                  <c:v>43000</c:v>
                </c:pt>
                <c:pt idx="7">
                  <c:v>42000</c:v>
                </c:pt>
                <c:pt idx="8">
                  <c:v>36000</c:v>
                </c:pt>
                <c:pt idx="9">
                  <c:v>35500</c:v>
                </c:pt>
                <c:pt idx="10">
                  <c:v>38500</c:v>
                </c:pt>
                <c:pt idx="11">
                  <c:v>38000</c:v>
                </c:pt>
                <c:pt idx="12">
                  <c:v>38000</c:v>
                </c:pt>
                <c:pt idx="13">
                  <c:v>37000</c:v>
                </c:pt>
                <c:pt idx="14">
                  <c:v>34000</c:v>
                </c:pt>
                <c:pt idx="15">
                  <c:v>33000</c:v>
                </c:pt>
                <c:pt idx="16">
                  <c:v>30000</c:v>
                </c:pt>
                <c:pt idx="17">
                  <c:v>28000</c:v>
                </c:pt>
                <c:pt idx="18">
                  <c:v>26000</c:v>
                </c:pt>
                <c:pt idx="19">
                  <c:v>24000</c:v>
                </c:pt>
                <c:pt idx="20">
                  <c:v>22000</c:v>
                </c:pt>
                <c:pt idx="21">
                  <c:v>19500</c:v>
                </c:pt>
                <c:pt idx="22">
                  <c:v>18500</c:v>
                </c:pt>
                <c:pt idx="23">
                  <c:v>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3-4210-90E6-6F5B423CA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561535"/>
        <c:axId val="432562015"/>
      </c:lineChart>
      <c:dateAx>
        <c:axId val="43256153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562015"/>
        <c:crosses val="autoZero"/>
        <c:auto val="1"/>
        <c:lblOffset val="100"/>
        <c:baseTimeUnit val="days"/>
      </c:dateAx>
      <c:valAx>
        <c:axId val="4325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56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66675</xdr:rowOff>
    </xdr:from>
    <xdr:to>
      <xdr:col>15</xdr:col>
      <xdr:colOff>419100</xdr:colOff>
      <xdr:row>32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2980DD-D57A-4A9F-BF6B-500F167E7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723900</xdr:colOff>
      <xdr:row>1</xdr:row>
      <xdr:rowOff>50800</xdr:rowOff>
    </xdr:from>
    <xdr:to>
      <xdr:col>30</xdr:col>
      <xdr:colOff>361950</xdr:colOff>
      <xdr:row>32</xdr:row>
      <xdr:rowOff>22225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E99F85C-AD3E-4432-9DCC-B43C523C9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17971</xdr:colOff>
      <xdr:row>33</xdr:row>
      <xdr:rowOff>89859</xdr:rowOff>
    </xdr:from>
    <xdr:to>
      <xdr:col>15</xdr:col>
      <xdr:colOff>401307</xdr:colOff>
      <xdr:row>64</xdr:row>
      <xdr:rowOff>61284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7E7B402-EC18-4558-8988-A6D2D481D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35943</xdr:colOff>
      <xdr:row>33</xdr:row>
      <xdr:rowOff>35943</xdr:rowOff>
    </xdr:from>
    <xdr:to>
      <xdr:col>30</xdr:col>
      <xdr:colOff>467263</xdr:colOff>
      <xdr:row>64</xdr:row>
      <xdr:rowOff>143774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DCD06E1-7837-4F29-9594-947441DD4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81E5-0E08-4071-B07E-B270B8743C8E}">
  <dimension ref="D5:V39"/>
  <sheetViews>
    <sheetView tabSelected="1" topLeftCell="C5" zoomScale="50" zoomScaleNormal="80" workbookViewId="0">
      <selection activeCell="V41" sqref="V41"/>
    </sheetView>
  </sheetViews>
  <sheetFormatPr baseColWidth="10" defaultRowHeight="15" x14ac:dyDescent="0.25"/>
  <cols>
    <col min="3" max="3" width="13" bestFit="1" customWidth="1"/>
    <col min="4" max="12" width="16" customWidth="1"/>
    <col min="13" max="13" width="33" customWidth="1"/>
    <col min="14" max="21" width="16" customWidth="1"/>
    <col min="22" max="22" width="33" customWidth="1"/>
    <col min="23" max="32" width="16" customWidth="1"/>
    <col min="33" max="33" width="33" customWidth="1"/>
  </cols>
  <sheetData>
    <row r="5" spans="4:22" ht="15.75" thickBot="1" x14ac:dyDescent="0.3"/>
    <row r="6" spans="4:22" ht="29.25" customHeight="1" thickTop="1" thickBot="1" x14ac:dyDescent="0.3">
      <c r="D6" s="72"/>
      <c r="E6" s="73" t="s">
        <v>13</v>
      </c>
      <c r="F6" s="74"/>
      <c r="G6" s="74"/>
      <c r="H6" s="74"/>
      <c r="I6" s="74"/>
      <c r="J6" s="74"/>
      <c r="K6" s="74"/>
      <c r="L6" s="75"/>
      <c r="M6" s="4"/>
      <c r="N6" s="57" t="s">
        <v>14</v>
      </c>
      <c r="O6" s="58"/>
      <c r="P6" s="58"/>
      <c r="Q6" s="58"/>
      <c r="R6" s="58"/>
      <c r="S6" s="58"/>
      <c r="T6" s="58"/>
      <c r="U6" s="59"/>
      <c r="V6" s="4"/>
    </row>
    <row r="7" spans="4:22" ht="49.5" customHeight="1" thickTop="1" thickBot="1" x14ac:dyDescent="0.3">
      <c r="D7" s="76"/>
      <c r="E7" s="53" t="s">
        <v>0</v>
      </c>
      <c r="F7" s="77"/>
      <c r="G7" s="54" t="s">
        <v>1</v>
      </c>
      <c r="H7" s="54"/>
      <c r="I7" s="68" t="s">
        <v>2</v>
      </c>
      <c r="J7" s="68"/>
      <c r="K7" s="55" t="s">
        <v>3</v>
      </c>
      <c r="L7" s="56"/>
      <c r="M7" s="6" t="s">
        <v>11</v>
      </c>
      <c r="N7" s="60" t="s">
        <v>4</v>
      </c>
      <c r="O7" s="61"/>
      <c r="P7" s="62" t="s">
        <v>5</v>
      </c>
      <c r="Q7" s="63"/>
      <c r="R7" s="64" t="s">
        <v>6</v>
      </c>
      <c r="S7" s="65"/>
      <c r="T7" s="66" t="s">
        <v>7</v>
      </c>
      <c r="U7" s="67"/>
      <c r="V7" s="6" t="s">
        <v>11</v>
      </c>
    </row>
    <row r="8" spans="4:22" ht="80.25" customHeight="1" thickTop="1" thickBot="1" x14ac:dyDescent="0.3">
      <c r="D8" s="78"/>
      <c r="E8" s="8" t="s">
        <v>16</v>
      </c>
      <c r="F8" s="8" t="s">
        <v>12</v>
      </c>
      <c r="G8" s="15" t="s">
        <v>16</v>
      </c>
      <c r="H8" s="15" t="s">
        <v>12</v>
      </c>
      <c r="I8" s="13" t="s">
        <v>16</v>
      </c>
      <c r="J8" s="13" t="s">
        <v>12</v>
      </c>
      <c r="K8" s="8" t="s">
        <v>16</v>
      </c>
      <c r="L8" s="8" t="s">
        <v>12</v>
      </c>
      <c r="M8" s="8"/>
      <c r="N8" s="8" t="s">
        <v>16</v>
      </c>
      <c r="O8" s="8" t="s">
        <v>12</v>
      </c>
      <c r="P8" s="16" t="s">
        <v>16</v>
      </c>
      <c r="Q8" s="16" t="s">
        <v>12</v>
      </c>
      <c r="R8" s="17" t="s">
        <v>16</v>
      </c>
      <c r="S8" s="15" t="s">
        <v>12</v>
      </c>
      <c r="T8" s="18" t="s">
        <v>16</v>
      </c>
      <c r="U8" s="13" t="s">
        <v>12</v>
      </c>
      <c r="V8" s="79"/>
    </row>
    <row r="9" spans="4:22" ht="29.25" customHeight="1" thickTop="1" thickBot="1" x14ac:dyDescent="0.3">
      <c r="D9" s="80">
        <v>46113</v>
      </c>
      <c r="E9" s="7">
        <v>3774</v>
      </c>
      <c r="F9" s="7">
        <v>3774</v>
      </c>
      <c r="G9" s="7">
        <v>4497</v>
      </c>
      <c r="H9" s="7">
        <v>4497</v>
      </c>
      <c r="I9" s="7">
        <v>921</v>
      </c>
      <c r="J9" s="7">
        <v>921</v>
      </c>
      <c r="K9" s="9">
        <v>3659</v>
      </c>
      <c r="L9" s="12">
        <v>3659</v>
      </c>
      <c r="M9" s="5">
        <f t="shared" ref="M9:M32" si="0">E9+G9+I9+K9</f>
        <v>12851</v>
      </c>
      <c r="N9" s="5">
        <v>160</v>
      </c>
      <c r="O9" s="5">
        <v>160</v>
      </c>
      <c r="P9" s="7">
        <v>191</v>
      </c>
      <c r="Q9" s="7">
        <v>191</v>
      </c>
      <c r="R9" s="7">
        <v>319</v>
      </c>
      <c r="S9" s="7">
        <v>319</v>
      </c>
      <c r="T9" s="14">
        <v>41.85</v>
      </c>
      <c r="U9" s="14">
        <v>41.85</v>
      </c>
      <c r="V9" s="81">
        <f t="shared" ref="V9:V32" si="1">N9+P9+R9+T9</f>
        <v>711.85</v>
      </c>
    </row>
    <row r="10" spans="4:22" ht="29.25" customHeight="1" thickBot="1" x14ac:dyDescent="0.3">
      <c r="D10" s="82">
        <v>46114</v>
      </c>
      <c r="E10" s="1">
        <v>3315</v>
      </c>
      <c r="F10" s="1">
        <f>E10-E9</f>
        <v>-459</v>
      </c>
      <c r="G10" s="1">
        <v>4384</v>
      </c>
      <c r="H10" s="1">
        <f>G10-G9</f>
        <v>-113</v>
      </c>
      <c r="I10" s="1">
        <v>1031</v>
      </c>
      <c r="J10" s="1">
        <f>I10-I9</f>
        <v>110</v>
      </c>
      <c r="K10" s="10">
        <v>4806</v>
      </c>
      <c r="L10" s="11">
        <f>K10-K9</f>
        <v>1147</v>
      </c>
      <c r="M10" s="5">
        <f t="shared" si="0"/>
        <v>13536</v>
      </c>
      <c r="N10" s="2">
        <v>345</v>
      </c>
      <c r="O10" s="11">
        <f>N10-N9</f>
        <v>185</v>
      </c>
      <c r="P10" s="1">
        <v>123</v>
      </c>
      <c r="Q10" s="11">
        <f>P10-P9</f>
        <v>-68</v>
      </c>
      <c r="R10" s="1">
        <v>250</v>
      </c>
      <c r="S10" s="11">
        <f>R10-R9</f>
        <v>-69</v>
      </c>
      <c r="T10" s="3">
        <v>32.4</v>
      </c>
      <c r="U10" s="19">
        <f>T10-T9</f>
        <v>-9.4500000000000028</v>
      </c>
      <c r="V10" s="81">
        <f t="shared" si="1"/>
        <v>750.4</v>
      </c>
    </row>
    <row r="11" spans="4:22" ht="29.25" customHeight="1" thickBot="1" x14ac:dyDescent="0.3">
      <c r="D11" s="82">
        <v>46115</v>
      </c>
      <c r="E11" s="1">
        <v>2856</v>
      </c>
      <c r="F11" s="1">
        <f t="shared" ref="F11:F32" si="2">E11-E10</f>
        <v>-459</v>
      </c>
      <c r="G11" s="1">
        <v>3708</v>
      </c>
      <c r="H11" s="1">
        <f t="shared" ref="H11:H32" si="3">G11-G10</f>
        <v>-676</v>
      </c>
      <c r="I11" s="1">
        <v>711</v>
      </c>
      <c r="J11" s="1">
        <f t="shared" ref="J11:J32" si="4">I11-I10</f>
        <v>-320</v>
      </c>
      <c r="K11" s="10">
        <v>4691</v>
      </c>
      <c r="L11" s="11">
        <f t="shared" ref="L11:L32" si="5">K11-K10</f>
        <v>-115</v>
      </c>
      <c r="M11" s="5">
        <f t="shared" si="0"/>
        <v>11966</v>
      </c>
      <c r="N11" s="2">
        <v>276</v>
      </c>
      <c r="O11" s="11">
        <f t="shared" ref="O11:O32" si="6">N11-N10</f>
        <v>-69</v>
      </c>
      <c r="P11" s="1">
        <v>176.38</v>
      </c>
      <c r="Q11" s="11">
        <f t="shared" ref="Q11:Q32" si="7">P11-P10</f>
        <v>53.379999999999995</v>
      </c>
      <c r="R11" s="1">
        <v>317.5</v>
      </c>
      <c r="S11" s="11">
        <f t="shared" ref="S11:S32" si="8">R11-R10</f>
        <v>67.5</v>
      </c>
      <c r="T11" s="3">
        <v>26.55</v>
      </c>
      <c r="U11" s="19">
        <f t="shared" ref="U11:U32" si="9">T11-T10</f>
        <v>-5.8499999999999979</v>
      </c>
      <c r="V11" s="81">
        <f t="shared" si="1"/>
        <v>796.43</v>
      </c>
    </row>
    <row r="12" spans="4:22" ht="29.25" customHeight="1" thickBot="1" x14ac:dyDescent="0.3">
      <c r="D12" s="82">
        <v>46116</v>
      </c>
      <c r="E12" s="1">
        <v>2397</v>
      </c>
      <c r="F12" s="1">
        <f t="shared" si="2"/>
        <v>-459</v>
      </c>
      <c r="G12" s="1">
        <v>2806</v>
      </c>
      <c r="H12" s="1">
        <f t="shared" si="3"/>
        <v>-902</v>
      </c>
      <c r="I12" s="1">
        <v>2411</v>
      </c>
      <c r="J12" s="1">
        <f t="shared" si="4"/>
        <v>1700</v>
      </c>
      <c r="K12" s="10">
        <v>3430</v>
      </c>
      <c r="L12" s="11">
        <f t="shared" si="5"/>
        <v>-1261</v>
      </c>
      <c r="M12" s="5">
        <f t="shared" si="0"/>
        <v>11044</v>
      </c>
      <c r="N12" s="2">
        <v>140</v>
      </c>
      <c r="O12" s="11">
        <f t="shared" si="6"/>
        <v>-136</v>
      </c>
      <c r="P12" s="1">
        <v>208.78</v>
      </c>
      <c r="Q12" s="11">
        <f t="shared" si="7"/>
        <v>32.400000000000006</v>
      </c>
      <c r="R12" s="1">
        <v>574</v>
      </c>
      <c r="S12" s="11">
        <f t="shared" si="8"/>
        <v>256.5</v>
      </c>
      <c r="T12" s="3">
        <v>26.55</v>
      </c>
      <c r="U12" s="19">
        <f t="shared" si="9"/>
        <v>0</v>
      </c>
      <c r="V12" s="81">
        <f t="shared" si="1"/>
        <v>949.32999999999993</v>
      </c>
    </row>
    <row r="13" spans="4:22" ht="29.25" customHeight="1" thickBot="1" x14ac:dyDescent="0.3">
      <c r="D13" s="82">
        <v>46118</v>
      </c>
      <c r="E13" s="1">
        <v>1364</v>
      </c>
      <c r="F13" s="1">
        <f t="shared" si="2"/>
        <v>-1033</v>
      </c>
      <c r="G13" s="1">
        <v>4159</v>
      </c>
      <c r="H13" s="1">
        <f t="shared" si="3"/>
        <v>1353</v>
      </c>
      <c r="I13" s="1">
        <v>2411</v>
      </c>
      <c r="J13" s="1">
        <f t="shared" si="4"/>
        <v>0</v>
      </c>
      <c r="K13" s="10">
        <v>5265</v>
      </c>
      <c r="L13" s="11">
        <f t="shared" si="5"/>
        <v>1835</v>
      </c>
      <c r="M13" s="5">
        <f t="shared" si="0"/>
        <v>13199</v>
      </c>
      <c r="N13" s="2">
        <v>206</v>
      </c>
      <c r="O13" s="11">
        <f t="shared" si="6"/>
        <v>66</v>
      </c>
      <c r="P13" s="1">
        <v>251.5</v>
      </c>
      <c r="Q13" s="11">
        <f t="shared" si="7"/>
        <v>42.72</v>
      </c>
      <c r="R13" s="1">
        <v>401</v>
      </c>
      <c r="S13" s="11">
        <f t="shared" si="8"/>
        <v>-173</v>
      </c>
      <c r="T13" s="3">
        <v>26.55</v>
      </c>
      <c r="U13" s="19">
        <f t="shared" si="9"/>
        <v>0</v>
      </c>
      <c r="V13" s="81">
        <f t="shared" si="1"/>
        <v>885.05</v>
      </c>
    </row>
    <row r="14" spans="4:22" ht="29.25" customHeight="1" thickBot="1" x14ac:dyDescent="0.3">
      <c r="D14" s="82">
        <v>46119</v>
      </c>
      <c r="E14" s="1">
        <v>2512</v>
      </c>
      <c r="F14" s="1">
        <f t="shared" si="2"/>
        <v>1148</v>
      </c>
      <c r="G14" s="1">
        <v>2693</v>
      </c>
      <c r="H14" s="1">
        <f t="shared" si="3"/>
        <v>-1466</v>
      </c>
      <c r="I14" s="1">
        <v>1834</v>
      </c>
      <c r="J14" s="1">
        <f t="shared" si="4"/>
        <v>-577</v>
      </c>
      <c r="K14" s="10">
        <v>4118</v>
      </c>
      <c r="L14" s="11">
        <f t="shared" si="5"/>
        <v>-1147</v>
      </c>
      <c r="M14" s="5">
        <f t="shared" si="0"/>
        <v>11157</v>
      </c>
      <c r="N14" s="2">
        <v>227</v>
      </c>
      <c r="O14" s="11">
        <f t="shared" si="6"/>
        <v>21</v>
      </c>
      <c r="P14" s="1">
        <v>215</v>
      </c>
      <c r="Q14" s="11">
        <f t="shared" si="7"/>
        <v>-36.5</v>
      </c>
      <c r="R14" s="1">
        <v>364</v>
      </c>
      <c r="S14" s="11">
        <f t="shared" si="8"/>
        <v>-37</v>
      </c>
      <c r="T14" s="3">
        <v>17.100000000000001</v>
      </c>
      <c r="U14" s="19">
        <f t="shared" si="9"/>
        <v>-9.4499999999999993</v>
      </c>
      <c r="V14" s="81">
        <f t="shared" si="1"/>
        <v>823.1</v>
      </c>
    </row>
    <row r="15" spans="4:22" ht="29.25" customHeight="1" thickBot="1" x14ac:dyDescent="0.3">
      <c r="D15" s="82">
        <v>46120</v>
      </c>
      <c r="E15" s="1">
        <v>3200</v>
      </c>
      <c r="F15" s="1">
        <f t="shared" si="2"/>
        <v>688</v>
      </c>
      <c r="G15" s="1">
        <v>2017</v>
      </c>
      <c r="H15" s="1">
        <f t="shared" si="3"/>
        <v>-676</v>
      </c>
      <c r="I15" s="1">
        <v>1372</v>
      </c>
      <c r="J15" s="1">
        <f t="shared" si="4"/>
        <v>-462</v>
      </c>
      <c r="K15" s="10">
        <v>3774</v>
      </c>
      <c r="L15" s="11">
        <f t="shared" si="5"/>
        <v>-344</v>
      </c>
      <c r="M15" s="5">
        <f t="shared" si="0"/>
        <v>10363</v>
      </c>
      <c r="N15" s="2">
        <v>205</v>
      </c>
      <c r="O15" s="11">
        <f t="shared" si="6"/>
        <v>-22</v>
      </c>
      <c r="P15" s="1">
        <v>236.83</v>
      </c>
      <c r="Q15" s="11">
        <f t="shared" si="7"/>
        <v>21.830000000000013</v>
      </c>
      <c r="R15" s="1">
        <v>283</v>
      </c>
      <c r="S15" s="11">
        <f t="shared" si="8"/>
        <v>-81</v>
      </c>
      <c r="T15" s="3">
        <v>17.100000000000001</v>
      </c>
      <c r="U15" s="19">
        <f t="shared" si="9"/>
        <v>0</v>
      </c>
      <c r="V15" s="81">
        <f t="shared" si="1"/>
        <v>741.93000000000006</v>
      </c>
    </row>
    <row r="16" spans="4:22" ht="29.25" customHeight="1" thickBot="1" x14ac:dyDescent="0.3">
      <c r="D16" s="82">
        <v>46121</v>
      </c>
      <c r="E16" s="1">
        <v>3544</v>
      </c>
      <c r="F16" s="1">
        <f t="shared" si="2"/>
        <v>344</v>
      </c>
      <c r="G16" s="1">
        <v>1228</v>
      </c>
      <c r="H16" s="1">
        <f t="shared" si="3"/>
        <v>-789</v>
      </c>
      <c r="I16" s="1">
        <v>1031</v>
      </c>
      <c r="J16" s="1">
        <f t="shared" si="4"/>
        <v>-341</v>
      </c>
      <c r="K16" s="10">
        <v>3430</v>
      </c>
      <c r="L16" s="11">
        <f t="shared" si="5"/>
        <v>-344</v>
      </c>
      <c r="M16" s="5">
        <f t="shared" si="0"/>
        <v>9233</v>
      </c>
      <c r="N16" s="2">
        <v>400</v>
      </c>
      <c r="O16" s="11">
        <f t="shared" si="6"/>
        <v>195</v>
      </c>
      <c r="P16" s="1">
        <v>0</v>
      </c>
      <c r="Q16" s="11">
        <f t="shared" si="7"/>
        <v>-236.83</v>
      </c>
      <c r="R16" s="1">
        <v>446</v>
      </c>
      <c r="S16" s="11">
        <f t="shared" si="8"/>
        <v>163</v>
      </c>
      <c r="T16" s="3">
        <v>14.18</v>
      </c>
      <c r="U16" s="19">
        <f t="shared" si="9"/>
        <v>-2.9200000000000017</v>
      </c>
      <c r="V16" s="81">
        <f t="shared" si="1"/>
        <v>860.18</v>
      </c>
    </row>
    <row r="17" spans="4:22" ht="29.25" customHeight="1" thickBot="1" x14ac:dyDescent="0.3">
      <c r="D17" s="82">
        <v>46122</v>
      </c>
      <c r="E17" s="1">
        <v>2971</v>
      </c>
      <c r="F17" s="1">
        <f t="shared" si="2"/>
        <v>-573</v>
      </c>
      <c r="G17" s="1">
        <v>2017</v>
      </c>
      <c r="H17" s="1">
        <f t="shared" si="3"/>
        <v>789</v>
      </c>
      <c r="I17" s="1">
        <v>0</v>
      </c>
      <c r="J17" s="1">
        <f t="shared" si="4"/>
        <v>-1031</v>
      </c>
      <c r="K17" s="10">
        <v>2741</v>
      </c>
      <c r="L17" s="11">
        <f t="shared" si="5"/>
        <v>-689</v>
      </c>
      <c r="M17" s="5">
        <f t="shared" si="0"/>
        <v>7729</v>
      </c>
      <c r="N17" s="2">
        <v>371</v>
      </c>
      <c r="O17" s="11">
        <f t="shared" si="6"/>
        <v>-29</v>
      </c>
      <c r="P17" s="1">
        <v>239.53</v>
      </c>
      <c r="Q17" s="11">
        <f t="shared" si="7"/>
        <v>239.53</v>
      </c>
      <c r="R17" s="1">
        <v>788</v>
      </c>
      <c r="S17" s="11">
        <f t="shared" si="8"/>
        <v>342</v>
      </c>
      <c r="T17" s="3">
        <v>109.68</v>
      </c>
      <c r="U17" s="19">
        <f t="shared" si="9"/>
        <v>95.5</v>
      </c>
      <c r="V17" s="81">
        <f t="shared" si="1"/>
        <v>1508.21</v>
      </c>
    </row>
    <row r="18" spans="4:22" ht="29.25" customHeight="1" thickBot="1" x14ac:dyDescent="0.3">
      <c r="D18" s="82">
        <v>46123</v>
      </c>
      <c r="E18" s="1">
        <v>1938</v>
      </c>
      <c r="F18" s="1">
        <f t="shared" si="2"/>
        <v>-1033</v>
      </c>
      <c r="G18" s="1">
        <v>1453</v>
      </c>
      <c r="H18" s="1">
        <f t="shared" si="3"/>
        <v>-564</v>
      </c>
      <c r="I18" s="1">
        <v>1949</v>
      </c>
      <c r="J18" s="1">
        <f t="shared" si="4"/>
        <v>1949</v>
      </c>
      <c r="K18" s="10">
        <v>2282</v>
      </c>
      <c r="L18" s="11">
        <f t="shared" si="5"/>
        <v>-459</v>
      </c>
      <c r="M18" s="5">
        <f t="shared" si="0"/>
        <v>7622</v>
      </c>
      <c r="N18" s="2">
        <v>679</v>
      </c>
      <c r="O18" s="11">
        <f t="shared" si="6"/>
        <v>308</v>
      </c>
      <c r="P18" s="1">
        <v>252.35</v>
      </c>
      <c r="Q18" s="11">
        <f t="shared" si="7"/>
        <v>12.819999999999993</v>
      </c>
      <c r="R18" s="1">
        <v>516</v>
      </c>
      <c r="S18" s="11">
        <f t="shared" si="8"/>
        <v>-272</v>
      </c>
      <c r="T18" s="3">
        <v>90.78</v>
      </c>
      <c r="U18" s="19">
        <f t="shared" si="9"/>
        <v>-18.900000000000006</v>
      </c>
      <c r="V18" s="81">
        <f t="shared" si="1"/>
        <v>1538.1299999999999</v>
      </c>
    </row>
    <row r="19" spans="4:22" ht="29.25" customHeight="1" thickBot="1" x14ac:dyDescent="0.3">
      <c r="D19" s="82">
        <v>46125</v>
      </c>
      <c r="E19" s="1">
        <v>1137</v>
      </c>
      <c r="F19" s="1">
        <f t="shared" si="2"/>
        <v>-801</v>
      </c>
      <c r="G19" s="1">
        <v>1007</v>
      </c>
      <c r="H19" s="1">
        <f t="shared" si="3"/>
        <v>-446</v>
      </c>
      <c r="I19" s="1">
        <v>814</v>
      </c>
      <c r="J19" s="1">
        <f t="shared" si="4"/>
        <v>-1135</v>
      </c>
      <c r="K19" s="10">
        <v>3888</v>
      </c>
      <c r="L19" s="11">
        <f t="shared" si="5"/>
        <v>1606</v>
      </c>
      <c r="M19" s="5">
        <f t="shared" si="0"/>
        <v>6846</v>
      </c>
      <c r="N19" s="2">
        <v>303</v>
      </c>
      <c r="O19" s="11">
        <f t="shared" si="6"/>
        <v>-376</v>
      </c>
      <c r="P19" s="1">
        <v>172.93</v>
      </c>
      <c r="Q19" s="11">
        <f t="shared" si="7"/>
        <v>-79.419999999999987</v>
      </c>
      <c r="R19" s="1">
        <v>555</v>
      </c>
      <c r="S19" s="11">
        <f t="shared" si="8"/>
        <v>39</v>
      </c>
      <c r="T19" s="3">
        <v>84.93</v>
      </c>
      <c r="U19" s="19">
        <f t="shared" si="9"/>
        <v>-5.8499999999999943</v>
      </c>
      <c r="V19" s="81">
        <f t="shared" si="1"/>
        <v>1115.8600000000001</v>
      </c>
    </row>
    <row r="20" spans="4:22" ht="29.25" customHeight="1" thickBot="1" x14ac:dyDescent="0.3">
      <c r="D20" s="82">
        <v>46126</v>
      </c>
      <c r="E20" s="1">
        <v>809</v>
      </c>
      <c r="F20" s="1">
        <f t="shared" si="2"/>
        <v>-328</v>
      </c>
      <c r="G20" s="1">
        <v>2581</v>
      </c>
      <c r="H20" s="1">
        <f t="shared" si="3"/>
        <v>1574</v>
      </c>
      <c r="I20" s="1">
        <v>2873</v>
      </c>
      <c r="J20" s="1">
        <f t="shared" si="4"/>
        <v>2059</v>
      </c>
      <c r="K20" s="10">
        <v>2168</v>
      </c>
      <c r="L20" s="11">
        <f t="shared" si="5"/>
        <v>-1720</v>
      </c>
      <c r="M20" s="5">
        <f t="shared" si="0"/>
        <v>8431</v>
      </c>
      <c r="N20" s="2">
        <v>440</v>
      </c>
      <c r="O20" s="11">
        <f t="shared" si="6"/>
        <v>137</v>
      </c>
      <c r="P20" s="1">
        <v>211.63</v>
      </c>
      <c r="Q20" s="11">
        <f t="shared" si="7"/>
        <v>38.699999999999989</v>
      </c>
      <c r="R20" s="1">
        <v>170</v>
      </c>
      <c r="S20" s="11">
        <f t="shared" si="8"/>
        <v>-385</v>
      </c>
      <c r="T20" s="3">
        <v>75.48</v>
      </c>
      <c r="U20" s="19">
        <f t="shared" si="9"/>
        <v>-9.4500000000000028</v>
      </c>
      <c r="V20" s="81">
        <f t="shared" si="1"/>
        <v>897.11</v>
      </c>
    </row>
    <row r="21" spans="4:22" ht="29.25" customHeight="1" thickBot="1" x14ac:dyDescent="0.3">
      <c r="D21" s="82">
        <v>46127</v>
      </c>
      <c r="E21" s="1">
        <v>0</v>
      </c>
      <c r="F21" s="1">
        <f t="shared" si="2"/>
        <v>-809</v>
      </c>
      <c r="G21" s="1">
        <v>795</v>
      </c>
      <c r="H21" s="1">
        <f t="shared" si="3"/>
        <v>-1786</v>
      </c>
      <c r="I21" s="1">
        <v>1488</v>
      </c>
      <c r="J21" s="1">
        <f t="shared" si="4"/>
        <v>-1385</v>
      </c>
      <c r="K21" s="10">
        <v>1938</v>
      </c>
      <c r="L21" s="11">
        <f t="shared" si="5"/>
        <v>-230</v>
      </c>
      <c r="M21" s="5">
        <f t="shared" si="0"/>
        <v>4221</v>
      </c>
      <c r="N21" s="2">
        <v>108</v>
      </c>
      <c r="O21" s="11">
        <f t="shared" si="6"/>
        <v>-332</v>
      </c>
      <c r="P21" s="1">
        <v>279.58</v>
      </c>
      <c r="Q21" s="11">
        <f t="shared" si="7"/>
        <v>67.949999999999989</v>
      </c>
      <c r="R21" s="1">
        <v>408</v>
      </c>
      <c r="S21" s="11">
        <f t="shared" si="8"/>
        <v>238</v>
      </c>
      <c r="T21" s="3">
        <v>75.48</v>
      </c>
      <c r="U21" s="19">
        <f t="shared" si="9"/>
        <v>0</v>
      </c>
      <c r="V21" s="81">
        <f t="shared" si="1"/>
        <v>871.06</v>
      </c>
    </row>
    <row r="22" spans="4:22" ht="29.25" customHeight="1" thickBot="1" x14ac:dyDescent="0.3">
      <c r="D22" s="82">
        <v>46128</v>
      </c>
      <c r="E22" s="1">
        <v>1025</v>
      </c>
      <c r="F22" s="1">
        <f t="shared" si="2"/>
        <v>1025</v>
      </c>
      <c r="G22" s="1">
        <v>1679</v>
      </c>
      <c r="H22" s="1">
        <f t="shared" si="3"/>
        <v>884</v>
      </c>
      <c r="I22" s="1">
        <v>814</v>
      </c>
      <c r="J22" s="1">
        <f t="shared" si="4"/>
        <v>-674</v>
      </c>
      <c r="K22" s="10">
        <v>1250</v>
      </c>
      <c r="L22" s="11">
        <f t="shared" si="5"/>
        <v>-688</v>
      </c>
      <c r="M22" s="5">
        <f t="shared" si="0"/>
        <v>4768</v>
      </c>
      <c r="N22" s="2">
        <v>182</v>
      </c>
      <c r="O22" s="11">
        <f t="shared" si="6"/>
        <v>74</v>
      </c>
      <c r="P22" s="1">
        <v>335.83</v>
      </c>
      <c r="Q22" s="11">
        <f t="shared" si="7"/>
        <v>56.25</v>
      </c>
      <c r="R22" s="1">
        <v>450</v>
      </c>
      <c r="S22" s="11">
        <f t="shared" si="8"/>
        <v>42</v>
      </c>
      <c r="T22" s="3">
        <v>64</v>
      </c>
      <c r="U22" s="19">
        <f t="shared" si="9"/>
        <v>-11.480000000000004</v>
      </c>
      <c r="V22" s="81">
        <f t="shared" si="1"/>
        <v>1031.83</v>
      </c>
    </row>
    <row r="23" spans="4:22" ht="29.25" customHeight="1" thickBot="1" x14ac:dyDescent="0.3">
      <c r="D23" s="82">
        <v>46129</v>
      </c>
      <c r="E23" s="1">
        <v>707</v>
      </c>
      <c r="F23" s="1">
        <f t="shared" si="2"/>
        <v>-318</v>
      </c>
      <c r="G23" s="1">
        <v>597</v>
      </c>
      <c r="H23" s="1">
        <f t="shared" si="3"/>
        <v>-1082</v>
      </c>
      <c r="I23" s="1">
        <v>814</v>
      </c>
      <c r="J23" s="1">
        <f t="shared" si="4"/>
        <v>0</v>
      </c>
      <c r="K23" s="10">
        <v>1137</v>
      </c>
      <c r="L23" s="11">
        <f t="shared" si="5"/>
        <v>-113</v>
      </c>
      <c r="M23" s="5">
        <f t="shared" si="0"/>
        <v>3255</v>
      </c>
      <c r="N23" s="2">
        <v>155</v>
      </c>
      <c r="O23" s="11">
        <f t="shared" si="6"/>
        <v>-27</v>
      </c>
      <c r="P23" s="1">
        <v>261.13</v>
      </c>
      <c r="Q23" s="11">
        <f t="shared" si="7"/>
        <v>-74.699999999999989</v>
      </c>
      <c r="R23" s="1">
        <v>283</v>
      </c>
      <c r="S23" s="11">
        <f t="shared" si="8"/>
        <v>-167</v>
      </c>
      <c r="T23" s="3">
        <v>64</v>
      </c>
      <c r="U23" s="19">
        <f t="shared" si="9"/>
        <v>0</v>
      </c>
      <c r="V23" s="81">
        <f t="shared" si="1"/>
        <v>763.13</v>
      </c>
    </row>
    <row r="24" spans="4:22" ht="29.25" customHeight="1" thickBot="1" x14ac:dyDescent="0.3">
      <c r="D24" s="82">
        <v>46130</v>
      </c>
      <c r="E24" s="1">
        <v>1823</v>
      </c>
      <c r="F24" s="1">
        <f t="shared" si="2"/>
        <v>1116</v>
      </c>
      <c r="G24" s="1">
        <v>88</v>
      </c>
      <c r="H24" s="1">
        <f t="shared" si="3"/>
        <v>-509</v>
      </c>
      <c r="I24" s="1">
        <v>48</v>
      </c>
      <c r="J24" s="1">
        <f t="shared" si="4"/>
        <v>-766</v>
      </c>
      <c r="K24" s="10">
        <v>1250</v>
      </c>
      <c r="L24" s="11">
        <f t="shared" si="5"/>
        <v>113</v>
      </c>
      <c r="M24" s="5">
        <f t="shared" si="0"/>
        <v>3209</v>
      </c>
      <c r="N24" s="2">
        <v>143</v>
      </c>
      <c r="O24" s="11">
        <f t="shared" si="6"/>
        <v>-12</v>
      </c>
      <c r="P24" s="1">
        <v>276.88</v>
      </c>
      <c r="Q24" s="11">
        <f t="shared" si="7"/>
        <v>15.75</v>
      </c>
      <c r="R24" s="1">
        <v>467</v>
      </c>
      <c r="S24" s="11">
        <f t="shared" si="8"/>
        <v>184</v>
      </c>
      <c r="T24" s="3">
        <v>52.53</v>
      </c>
      <c r="U24" s="19">
        <f t="shared" si="9"/>
        <v>-11.469999999999999</v>
      </c>
      <c r="V24" s="81">
        <f t="shared" si="1"/>
        <v>939.41</v>
      </c>
    </row>
    <row r="25" spans="4:22" ht="29.25" customHeight="1" thickBot="1" x14ac:dyDescent="0.3">
      <c r="D25" s="82">
        <v>46132</v>
      </c>
      <c r="E25" s="1">
        <v>1709</v>
      </c>
      <c r="F25" s="1">
        <f t="shared" si="2"/>
        <v>-114</v>
      </c>
      <c r="G25" s="1">
        <f>(G24+G26)/2</f>
        <v>58</v>
      </c>
      <c r="H25" s="1">
        <f t="shared" si="3"/>
        <v>-30</v>
      </c>
      <c r="I25" s="1">
        <v>1719</v>
      </c>
      <c r="J25" s="1">
        <f t="shared" si="4"/>
        <v>1671</v>
      </c>
      <c r="K25" s="10">
        <v>1938</v>
      </c>
      <c r="L25" s="11">
        <f t="shared" si="5"/>
        <v>688</v>
      </c>
      <c r="M25" s="5">
        <f t="shared" si="0"/>
        <v>5424</v>
      </c>
      <c r="N25" s="2">
        <v>168</v>
      </c>
      <c r="O25" s="11">
        <f t="shared" si="6"/>
        <v>25</v>
      </c>
      <c r="P25" s="1">
        <v>241</v>
      </c>
      <c r="Q25" s="11">
        <f t="shared" si="7"/>
        <v>-35.879999999999995</v>
      </c>
      <c r="R25" s="1">
        <v>468</v>
      </c>
      <c r="S25" s="11">
        <f t="shared" si="8"/>
        <v>1</v>
      </c>
      <c r="T25" s="3">
        <v>47.58</v>
      </c>
      <c r="U25" s="19">
        <f t="shared" si="9"/>
        <v>-4.9500000000000028</v>
      </c>
      <c r="V25" s="81">
        <f t="shared" si="1"/>
        <v>924.58</v>
      </c>
    </row>
    <row r="26" spans="4:22" ht="29.25" customHeight="1" thickBot="1" x14ac:dyDescent="0.3">
      <c r="D26" s="82">
        <v>46133</v>
      </c>
      <c r="E26" s="1">
        <v>1346</v>
      </c>
      <c r="F26" s="1">
        <f t="shared" si="2"/>
        <v>-363</v>
      </c>
      <c r="G26" s="1">
        <v>28</v>
      </c>
      <c r="H26" s="1">
        <f t="shared" si="3"/>
        <v>-30</v>
      </c>
      <c r="I26" s="1">
        <v>1257</v>
      </c>
      <c r="J26" s="1">
        <f t="shared" si="4"/>
        <v>-462</v>
      </c>
      <c r="K26" s="10">
        <v>2512</v>
      </c>
      <c r="L26" s="11">
        <f t="shared" si="5"/>
        <v>574</v>
      </c>
      <c r="M26" s="5">
        <f t="shared" si="0"/>
        <v>5143</v>
      </c>
      <c r="N26" s="2">
        <v>368</v>
      </c>
      <c r="O26" s="11">
        <f t="shared" si="6"/>
        <v>200</v>
      </c>
      <c r="P26" s="1">
        <v>179.35</v>
      </c>
      <c r="Q26" s="11">
        <f t="shared" si="7"/>
        <v>-61.650000000000006</v>
      </c>
      <c r="R26" s="1">
        <f>(R25+R27)/2</f>
        <v>311.5</v>
      </c>
      <c r="S26" s="11">
        <f t="shared" si="8"/>
        <v>-156.5</v>
      </c>
      <c r="T26" s="3">
        <v>47.58</v>
      </c>
      <c r="U26" s="19">
        <f t="shared" si="9"/>
        <v>0</v>
      </c>
      <c r="V26" s="81">
        <f t="shared" si="1"/>
        <v>906.43000000000006</v>
      </c>
    </row>
    <row r="27" spans="4:22" ht="29.25" customHeight="1" thickBot="1" x14ac:dyDescent="0.3">
      <c r="D27" s="82">
        <v>46134</v>
      </c>
      <c r="E27" s="1">
        <v>1250</v>
      </c>
      <c r="F27" s="1">
        <f t="shared" si="2"/>
        <v>-96</v>
      </c>
      <c r="G27" s="1">
        <v>0</v>
      </c>
      <c r="H27" s="1">
        <f t="shared" si="3"/>
        <v>-28</v>
      </c>
      <c r="I27" s="1">
        <v>428</v>
      </c>
      <c r="J27" s="1">
        <f t="shared" si="4"/>
        <v>-829</v>
      </c>
      <c r="K27" s="10">
        <v>2397</v>
      </c>
      <c r="L27" s="11">
        <f t="shared" si="5"/>
        <v>-115</v>
      </c>
      <c r="M27" s="5">
        <f t="shared" si="0"/>
        <v>4075</v>
      </c>
      <c r="N27" s="2">
        <v>222.5</v>
      </c>
      <c r="O27" s="11">
        <f t="shared" si="6"/>
        <v>-145.5</v>
      </c>
      <c r="P27" s="1">
        <v>0</v>
      </c>
      <c r="Q27" s="11">
        <f t="shared" si="7"/>
        <v>-179.35</v>
      </c>
      <c r="R27" s="1">
        <v>155</v>
      </c>
      <c r="S27" s="11">
        <f t="shared" si="8"/>
        <v>-156.5</v>
      </c>
      <c r="T27" s="3">
        <v>137.9</v>
      </c>
      <c r="U27" s="19">
        <f t="shared" si="9"/>
        <v>90.320000000000007</v>
      </c>
      <c r="V27" s="81">
        <f t="shared" si="1"/>
        <v>515.4</v>
      </c>
    </row>
    <row r="28" spans="4:22" ht="29.25" customHeight="1" thickBot="1" x14ac:dyDescent="0.3">
      <c r="D28" s="82">
        <v>46135</v>
      </c>
      <c r="E28" s="1">
        <v>1250</v>
      </c>
      <c r="F28" s="1">
        <f t="shared" si="2"/>
        <v>0</v>
      </c>
      <c r="G28" s="1">
        <v>0</v>
      </c>
      <c r="H28" s="1">
        <f t="shared" si="3"/>
        <v>0</v>
      </c>
      <c r="I28" s="1">
        <v>0</v>
      </c>
      <c r="J28" s="1">
        <f t="shared" si="4"/>
        <v>-428</v>
      </c>
      <c r="K28" s="10">
        <v>2053</v>
      </c>
      <c r="L28" s="11">
        <f t="shared" si="5"/>
        <v>-344</v>
      </c>
      <c r="M28" s="5">
        <f t="shared" si="0"/>
        <v>3303</v>
      </c>
      <c r="N28" s="2">
        <v>223</v>
      </c>
      <c r="O28" s="11">
        <f t="shared" si="6"/>
        <v>0.5</v>
      </c>
      <c r="P28" s="1">
        <v>137.43</v>
      </c>
      <c r="Q28" s="11">
        <f t="shared" si="7"/>
        <v>137.43</v>
      </c>
      <c r="R28" s="1">
        <v>264</v>
      </c>
      <c r="S28" s="11">
        <f t="shared" si="8"/>
        <v>109</v>
      </c>
      <c r="T28" s="3">
        <v>137.9</v>
      </c>
      <c r="U28" s="19">
        <f t="shared" si="9"/>
        <v>0</v>
      </c>
      <c r="V28" s="81">
        <f t="shared" si="1"/>
        <v>762.33</v>
      </c>
    </row>
    <row r="29" spans="4:22" ht="29.25" customHeight="1" thickBot="1" x14ac:dyDescent="0.3">
      <c r="D29" s="82">
        <v>46136</v>
      </c>
      <c r="E29" s="1">
        <v>426</v>
      </c>
      <c r="F29" s="1">
        <f t="shared" si="2"/>
        <v>-824</v>
      </c>
      <c r="G29" s="1">
        <v>0</v>
      </c>
      <c r="H29" s="1">
        <f t="shared" si="3"/>
        <v>0</v>
      </c>
      <c r="I29" s="1">
        <v>814</v>
      </c>
      <c r="J29" s="1">
        <f t="shared" si="4"/>
        <v>814</v>
      </c>
      <c r="K29" s="10">
        <v>2168</v>
      </c>
      <c r="L29" s="11">
        <f t="shared" si="5"/>
        <v>115</v>
      </c>
      <c r="M29" s="5">
        <f t="shared" si="0"/>
        <v>3408</v>
      </c>
      <c r="N29" s="2">
        <v>472</v>
      </c>
      <c r="O29" s="11">
        <f t="shared" si="6"/>
        <v>249</v>
      </c>
      <c r="P29" s="1">
        <v>298.52999999999997</v>
      </c>
      <c r="Q29" s="11">
        <f t="shared" si="7"/>
        <v>161.09999999999997</v>
      </c>
      <c r="R29" s="1">
        <v>164</v>
      </c>
      <c r="S29" s="11">
        <f t="shared" si="8"/>
        <v>-100</v>
      </c>
      <c r="T29" s="3">
        <v>132.05000000000001</v>
      </c>
      <c r="U29" s="19">
        <f t="shared" si="9"/>
        <v>-5.8499999999999943</v>
      </c>
      <c r="V29" s="81">
        <f t="shared" si="1"/>
        <v>1066.58</v>
      </c>
    </row>
    <row r="30" spans="4:22" ht="29.25" customHeight="1" thickBot="1" x14ac:dyDescent="0.3">
      <c r="D30" s="82">
        <v>46137</v>
      </c>
      <c r="E30" s="1">
        <v>0</v>
      </c>
      <c r="F30" s="1">
        <f t="shared" si="2"/>
        <v>-426</v>
      </c>
      <c r="G30" s="1">
        <v>0</v>
      </c>
      <c r="H30" s="1">
        <f t="shared" si="3"/>
        <v>0</v>
      </c>
      <c r="I30" s="1">
        <v>90</v>
      </c>
      <c r="J30" s="1">
        <f t="shared" si="4"/>
        <v>-724</v>
      </c>
      <c r="K30" s="10">
        <v>2741</v>
      </c>
      <c r="L30" s="11">
        <f t="shared" si="5"/>
        <v>573</v>
      </c>
      <c r="M30" s="5">
        <f t="shared" si="0"/>
        <v>2831</v>
      </c>
      <c r="N30" s="2">
        <v>786</v>
      </c>
      <c r="O30" s="11">
        <f t="shared" si="6"/>
        <v>314</v>
      </c>
      <c r="P30" s="1">
        <v>294.02999999999997</v>
      </c>
      <c r="Q30" s="11">
        <f t="shared" si="7"/>
        <v>-4.5</v>
      </c>
      <c r="R30" s="1">
        <v>70</v>
      </c>
      <c r="S30" s="11">
        <f t="shared" si="8"/>
        <v>-94</v>
      </c>
      <c r="T30" s="3">
        <v>132.05000000000001</v>
      </c>
      <c r="U30" s="19">
        <f t="shared" si="9"/>
        <v>0</v>
      </c>
      <c r="V30" s="81">
        <f t="shared" si="1"/>
        <v>1282.08</v>
      </c>
    </row>
    <row r="31" spans="4:22" ht="29.25" customHeight="1" thickBot="1" x14ac:dyDescent="0.3">
      <c r="D31" s="82">
        <v>46139</v>
      </c>
      <c r="E31" s="1">
        <v>2282</v>
      </c>
      <c r="F31" s="1">
        <f t="shared" si="2"/>
        <v>2282</v>
      </c>
      <c r="G31" s="1">
        <v>1453</v>
      </c>
      <c r="H31" s="1">
        <f t="shared" si="3"/>
        <v>1453</v>
      </c>
      <c r="I31" s="1">
        <v>2065</v>
      </c>
      <c r="J31" s="1">
        <f t="shared" si="4"/>
        <v>1975</v>
      </c>
      <c r="K31" s="10">
        <v>2626</v>
      </c>
      <c r="L31" s="11">
        <f t="shared" si="5"/>
        <v>-115</v>
      </c>
      <c r="M31" s="5">
        <f t="shared" si="0"/>
        <v>8426</v>
      </c>
      <c r="N31" s="2">
        <v>283</v>
      </c>
      <c r="O31" s="11">
        <f t="shared" si="6"/>
        <v>-503</v>
      </c>
      <c r="P31" s="1">
        <v>159.5</v>
      </c>
      <c r="Q31" s="11">
        <f t="shared" si="7"/>
        <v>-134.52999999999997</v>
      </c>
      <c r="R31" s="1">
        <v>375</v>
      </c>
      <c r="S31" s="11">
        <f t="shared" si="8"/>
        <v>305</v>
      </c>
      <c r="T31" s="3">
        <v>132.05000000000001</v>
      </c>
      <c r="U31" s="19">
        <f t="shared" si="9"/>
        <v>0</v>
      </c>
      <c r="V31" s="81">
        <f t="shared" si="1"/>
        <v>949.55</v>
      </c>
    </row>
    <row r="32" spans="4:22" ht="29.25" customHeight="1" thickBot="1" x14ac:dyDescent="0.3">
      <c r="D32" s="83">
        <v>46140</v>
      </c>
      <c r="E32" s="84">
        <v>2626</v>
      </c>
      <c r="F32" s="84">
        <f t="shared" si="2"/>
        <v>344</v>
      </c>
      <c r="G32" s="84">
        <v>1007</v>
      </c>
      <c r="H32" s="84">
        <f t="shared" si="3"/>
        <v>-446</v>
      </c>
      <c r="I32" s="84">
        <v>1257</v>
      </c>
      <c r="J32" s="84">
        <f t="shared" si="4"/>
        <v>-808</v>
      </c>
      <c r="K32" s="85">
        <v>2626</v>
      </c>
      <c r="L32" s="86">
        <f t="shared" si="5"/>
        <v>0</v>
      </c>
      <c r="M32" s="87">
        <f t="shared" si="0"/>
        <v>7516</v>
      </c>
      <c r="N32" s="88">
        <v>267</v>
      </c>
      <c r="O32" s="86">
        <f t="shared" si="6"/>
        <v>-16</v>
      </c>
      <c r="P32" s="84">
        <v>252.43</v>
      </c>
      <c r="Q32" s="86">
        <f t="shared" si="7"/>
        <v>92.93</v>
      </c>
      <c r="R32" s="84">
        <v>221</v>
      </c>
      <c r="S32" s="86">
        <f t="shared" si="8"/>
        <v>-154</v>
      </c>
      <c r="T32" s="89">
        <v>122.6</v>
      </c>
      <c r="U32" s="90">
        <f t="shared" si="9"/>
        <v>-9.4500000000000171</v>
      </c>
      <c r="V32" s="91">
        <f t="shared" si="1"/>
        <v>863.03000000000009</v>
      </c>
    </row>
    <row r="33" spans="5:21" ht="16.5" thickTop="1" thickBot="1" x14ac:dyDescent="0.3"/>
    <row r="34" spans="5:21" ht="20.25" thickTop="1" thickBot="1" x14ac:dyDescent="0.35">
      <c r="E34" s="51" t="s">
        <v>0</v>
      </c>
      <c r="F34" s="52"/>
      <c r="G34" s="51" t="s">
        <v>0</v>
      </c>
      <c r="H34" s="52"/>
      <c r="I34" s="51" t="s">
        <v>2</v>
      </c>
      <c r="J34" s="52"/>
      <c r="K34" s="51" t="s">
        <v>3</v>
      </c>
      <c r="L34" s="52"/>
      <c r="N34" s="51" t="s">
        <v>4</v>
      </c>
      <c r="O34" s="52"/>
      <c r="P34" s="51" t="s">
        <v>5</v>
      </c>
      <c r="Q34" s="52"/>
      <c r="R34" s="51" t="s">
        <v>6</v>
      </c>
      <c r="S34" s="52"/>
      <c r="T34" s="51" t="s">
        <v>7</v>
      </c>
      <c r="U34" s="52"/>
    </row>
    <row r="35" spans="5:21" x14ac:dyDescent="0.25">
      <c r="E35" s="22" t="s">
        <v>17</v>
      </c>
      <c r="F35" s="23">
        <f>MIN(E9:E32)</f>
        <v>0</v>
      </c>
      <c r="G35" s="22" t="s">
        <v>17</v>
      </c>
      <c r="H35" s="23">
        <f>MIN(G9:G32)</f>
        <v>0</v>
      </c>
      <c r="I35" s="22" t="s">
        <v>17</v>
      </c>
      <c r="J35" s="23">
        <f>MIN(I2:I26)</f>
        <v>0</v>
      </c>
      <c r="K35" s="22" t="s">
        <v>17</v>
      </c>
      <c r="L35" s="23">
        <f>MIN(K2:K26)</f>
        <v>1137</v>
      </c>
      <c r="N35" s="22" t="s">
        <v>17</v>
      </c>
      <c r="O35" s="23">
        <f>MIN(N2:N26)</f>
        <v>108</v>
      </c>
      <c r="P35" s="22" t="s">
        <v>17</v>
      </c>
      <c r="Q35" s="23">
        <f>MIN(P2:P26)</f>
        <v>0</v>
      </c>
      <c r="R35" s="22" t="s">
        <v>17</v>
      </c>
      <c r="S35" s="23">
        <f>MIN(R2:R26)</f>
        <v>170</v>
      </c>
      <c r="T35" s="22" t="s">
        <v>17</v>
      </c>
      <c r="U35" s="23">
        <f>MIN(T2:T26)</f>
        <v>14.18</v>
      </c>
    </row>
    <row r="36" spans="5:21" x14ac:dyDescent="0.25">
      <c r="E36" s="20" t="s">
        <v>18</v>
      </c>
      <c r="F36" s="24">
        <f>MAX(E9:E32)</f>
        <v>3774</v>
      </c>
      <c r="G36" s="20" t="s">
        <v>18</v>
      </c>
      <c r="H36" s="24">
        <f>MAX(G9:G32)</f>
        <v>4497</v>
      </c>
      <c r="I36" s="20" t="s">
        <v>18</v>
      </c>
      <c r="J36" s="24">
        <f>MAX(I2:I26)</f>
        <v>2873</v>
      </c>
      <c r="K36" s="20" t="s">
        <v>18</v>
      </c>
      <c r="L36" s="24">
        <f>MAX(K2:K26)</f>
        <v>5265</v>
      </c>
      <c r="N36" s="20" t="s">
        <v>18</v>
      </c>
      <c r="O36" s="24">
        <f>MAX(N2:N26)</f>
        <v>679</v>
      </c>
      <c r="P36" s="20" t="s">
        <v>18</v>
      </c>
      <c r="Q36" s="24">
        <f>MAX(P2:P26)</f>
        <v>335.83</v>
      </c>
      <c r="R36" s="20" t="s">
        <v>18</v>
      </c>
      <c r="S36" s="24">
        <f>MAX(R2:R26)</f>
        <v>788</v>
      </c>
      <c r="T36" s="20" t="s">
        <v>18</v>
      </c>
      <c r="U36" s="24">
        <f>MAX(T2:T26)</f>
        <v>109.68</v>
      </c>
    </row>
    <row r="37" spans="5:21" x14ac:dyDescent="0.25">
      <c r="E37" s="20" t="s">
        <v>19</v>
      </c>
      <c r="F37" s="24">
        <f>AVERAGE(E9:E32)</f>
        <v>1844.2083333333333</v>
      </c>
      <c r="G37" s="20" t="s">
        <v>19</v>
      </c>
      <c r="H37" s="24">
        <f>AVERAGE(G9:G32)</f>
        <v>1593.9583333333333</v>
      </c>
      <c r="I37" s="20" t="s">
        <v>19</v>
      </c>
      <c r="J37" s="24">
        <f>AVERAGE(I2:I26)</f>
        <v>1305.4444444444443</v>
      </c>
      <c r="K37" s="20" t="s">
        <v>19</v>
      </c>
      <c r="L37" s="24">
        <f>AVERAGE(K2:K26)</f>
        <v>3015.3888888888887</v>
      </c>
      <c r="N37" s="20" t="s">
        <v>19</v>
      </c>
      <c r="O37" s="24">
        <f>AVERAGE(N2:N26)</f>
        <v>270.88888888888891</v>
      </c>
      <c r="P37" s="20" t="s">
        <v>19</v>
      </c>
      <c r="Q37" s="24">
        <f>AVERAGE(P2:P26)</f>
        <v>214.03888888888889</v>
      </c>
      <c r="R37" s="20" t="s">
        <v>19</v>
      </c>
      <c r="S37" s="24">
        <f>AVERAGE(R2:R26)</f>
        <v>409.5</v>
      </c>
      <c r="T37" s="20" t="s">
        <v>19</v>
      </c>
      <c r="U37" s="24">
        <f>AVERAGE(T2:T26)</f>
        <v>50.795555555555559</v>
      </c>
    </row>
    <row r="38" spans="5:21" ht="15.75" thickBot="1" x14ac:dyDescent="0.3">
      <c r="E38" s="21" t="s">
        <v>20</v>
      </c>
      <c r="F38" s="25">
        <f>STDEV(E9:E32)</f>
        <v>1103.8416702457894</v>
      </c>
      <c r="G38" s="21" t="s">
        <v>20</v>
      </c>
      <c r="H38" s="25">
        <f>STDEV(G9:G32)</f>
        <v>1489.29549960541</v>
      </c>
      <c r="I38" s="21" t="s">
        <v>20</v>
      </c>
      <c r="J38" s="25">
        <f>STDEV(I2:I26)</f>
        <v>784.71082888368517</v>
      </c>
      <c r="K38" s="21" t="s">
        <v>20</v>
      </c>
      <c r="L38" s="25">
        <f>STDEV(K2:K26)</f>
        <v>1284.5950215071855</v>
      </c>
      <c r="N38" s="21" t="s">
        <v>20</v>
      </c>
      <c r="O38" s="25">
        <f>STDEV(N2:N26)</f>
        <v>144.00526497274078</v>
      </c>
      <c r="P38" s="21" t="s">
        <v>20</v>
      </c>
      <c r="Q38" s="25">
        <f>STDEV(P2:P26)</f>
        <v>72.371528679437915</v>
      </c>
      <c r="R38" s="21" t="s">
        <v>20</v>
      </c>
      <c r="S38" s="25">
        <f>STDEV(R2:R26)</f>
        <v>144.65862451668349</v>
      </c>
      <c r="T38" s="21" t="s">
        <v>20</v>
      </c>
      <c r="U38" s="25">
        <f>STDEV(T2:T26)</f>
        <v>28.300675781210636</v>
      </c>
    </row>
    <row r="39" spans="5:21" ht="15.75" thickTop="1" x14ac:dyDescent="0.25"/>
  </sheetData>
  <mergeCells count="18">
    <mergeCell ref="I7:J7"/>
    <mergeCell ref="G7:H7"/>
    <mergeCell ref="E6:L6"/>
    <mergeCell ref="K7:L7"/>
    <mergeCell ref="N6:U6"/>
    <mergeCell ref="N7:O7"/>
    <mergeCell ref="P7:Q7"/>
    <mergeCell ref="R7:S7"/>
    <mergeCell ref="T7:U7"/>
    <mergeCell ref="E34:F34"/>
    <mergeCell ref="G34:H34"/>
    <mergeCell ref="I34:J34"/>
    <mergeCell ref="K34:L34"/>
    <mergeCell ref="N34:O34"/>
    <mergeCell ref="P34:Q34"/>
    <mergeCell ref="R34:S34"/>
    <mergeCell ref="T34:U34"/>
    <mergeCell ref="E7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2066-5971-42A1-869D-E3CD8237B459}">
  <dimension ref="A1"/>
  <sheetViews>
    <sheetView zoomScale="92" workbookViewId="0">
      <selection activeCell="AH25" sqref="AH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C5FF-C71E-46CE-AE68-BB9A5E95CB59}">
  <dimension ref="B1:Q9"/>
  <sheetViews>
    <sheetView zoomScale="71" workbookViewId="0">
      <selection activeCell="C10" sqref="C10"/>
    </sheetView>
  </sheetViews>
  <sheetFormatPr baseColWidth="10" defaultRowHeight="15" x14ac:dyDescent="0.25"/>
  <cols>
    <col min="1" max="1" width="4.140625" customWidth="1"/>
    <col min="2" max="2" width="15.7109375" customWidth="1"/>
    <col min="3" max="5" width="13.28515625" customWidth="1"/>
    <col min="6" max="6" width="19.42578125" customWidth="1"/>
    <col min="7" max="8" width="13.28515625" customWidth="1"/>
    <col min="9" max="9" width="18" customWidth="1"/>
    <col min="10" max="15" width="13.28515625" customWidth="1"/>
    <col min="17" max="17" width="22" customWidth="1"/>
  </cols>
  <sheetData>
    <row r="1" spans="2:17" ht="15.75" thickBot="1" x14ac:dyDescent="0.3"/>
    <row r="2" spans="2:17" ht="57.75" customHeight="1" thickBot="1" x14ac:dyDescent="0.3">
      <c r="C2" s="69" t="s">
        <v>13</v>
      </c>
      <c r="D2" s="70"/>
      <c r="E2" s="70"/>
      <c r="F2" s="71"/>
      <c r="G2" s="69" t="s">
        <v>14</v>
      </c>
      <c r="H2" s="70"/>
      <c r="I2" s="70"/>
      <c r="J2" s="71"/>
      <c r="K2" s="69" t="s">
        <v>15</v>
      </c>
      <c r="L2" s="70"/>
      <c r="M2" s="70"/>
      <c r="N2" s="70"/>
      <c r="O2" s="71"/>
    </row>
    <row r="3" spans="2:17" ht="37.5" customHeight="1" x14ac:dyDescent="0.25">
      <c r="B3" s="36" t="s">
        <v>21</v>
      </c>
      <c r="C3" s="38" t="s">
        <v>0</v>
      </c>
      <c r="D3" s="31" t="s">
        <v>1</v>
      </c>
      <c r="E3" s="31" t="s">
        <v>2</v>
      </c>
      <c r="F3" s="47" t="s">
        <v>3</v>
      </c>
      <c r="G3" s="46" t="s">
        <v>4</v>
      </c>
      <c r="H3" s="27" t="s">
        <v>28</v>
      </c>
      <c r="I3" s="27" t="s">
        <v>6</v>
      </c>
      <c r="J3" s="34" t="s">
        <v>7</v>
      </c>
      <c r="K3" s="44" t="s">
        <v>30</v>
      </c>
      <c r="L3" s="32" t="s">
        <v>8</v>
      </c>
      <c r="M3" s="32" t="s">
        <v>31</v>
      </c>
      <c r="N3" s="32" t="s">
        <v>9</v>
      </c>
      <c r="O3" s="35" t="s">
        <v>10</v>
      </c>
    </row>
    <row r="4" spans="2:17" ht="45" customHeight="1" thickBot="1" x14ac:dyDescent="0.3">
      <c r="B4" s="37" t="s">
        <v>22</v>
      </c>
      <c r="C4" s="39">
        <f>ABS(AVERAGE(Feuil1!F9:F32))</f>
        <v>109.41666666666667</v>
      </c>
      <c r="D4" s="26">
        <f>ABS(AVERAGE(Feuil1!H9:H32))</f>
        <v>41.958333333333336</v>
      </c>
      <c r="E4" s="26">
        <f>ABS(AVERAGE(Feuil1!J9:J32))</f>
        <v>52.375</v>
      </c>
      <c r="F4" s="40">
        <f>ABS(AVERAGE(Feuil1!L9:L32))</f>
        <v>109.41666666666667</v>
      </c>
      <c r="G4" s="39">
        <f>ABS(AVERAGE(Feuil1!O9:O32))</f>
        <v>11.125</v>
      </c>
      <c r="H4" s="26">
        <f>ABS(AVERAGE(Feuil1!Q9:Q32))</f>
        <v>10.517916666666666</v>
      </c>
      <c r="I4" s="26">
        <f>ABS(AVERAGE(Feuil1!S9:S32))</f>
        <v>9.2083333333333339</v>
      </c>
      <c r="J4" s="40">
        <f>ABS(AVERAGE(Feuil1!U9:U32))</f>
        <v>5.1083333333333334</v>
      </c>
      <c r="K4" s="45" t="e">
        <f>ABS(AVERAGE(Feuil1!#REF!))</f>
        <v>#REF!</v>
      </c>
      <c r="L4" s="33" t="e">
        <f>ABS(AVERAGE(Feuil1!#REF!))</f>
        <v>#REF!</v>
      </c>
      <c r="M4" s="33" t="e">
        <f>ABS(AVERAGE(Feuil1!#REF!))</f>
        <v>#REF!</v>
      </c>
      <c r="N4" s="33" t="e">
        <f>ABS(AVERAGE(Feuil1!#REF!))</f>
        <v>#REF!</v>
      </c>
      <c r="O4" s="40" t="e">
        <f>ABS(AVERAGE(Feuil1!#REF!))</f>
        <v>#REF!</v>
      </c>
    </row>
    <row r="5" spans="2:17" ht="45" customHeight="1" x14ac:dyDescent="0.25">
      <c r="B5" s="37" t="s">
        <v>23</v>
      </c>
      <c r="C5" s="39">
        <f>Feuil1!E32</f>
        <v>2626</v>
      </c>
      <c r="D5" s="26">
        <f>Feuil1!G32</f>
        <v>1007</v>
      </c>
      <c r="E5" s="26">
        <f>Feuil1!I32</f>
        <v>1257</v>
      </c>
      <c r="F5" s="40">
        <f>Feuil1!K32</f>
        <v>2626</v>
      </c>
      <c r="G5" s="39">
        <f>Feuil1!N32</f>
        <v>267</v>
      </c>
      <c r="H5" s="26">
        <f>Feuil1!P32</f>
        <v>252.43</v>
      </c>
      <c r="I5" s="26">
        <f>Feuil1!R32</f>
        <v>221</v>
      </c>
      <c r="J5" s="40">
        <f>Feuil1!T32</f>
        <v>122.6</v>
      </c>
      <c r="K5" s="45" t="e">
        <f>Feuil1!#REF!</f>
        <v>#REF!</v>
      </c>
      <c r="L5" s="33" t="e">
        <f>Feuil1!#REF!</f>
        <v>#REF!</v>
      </c>
      <c r="M5" s="33" t="e">
        <f>Feuil1!#REF!</f>
        <v>#REF!</v>
      </c>
      <c r="N5" s="33" t="e">
        <f>Feuil1!#REF!</f>
        <v>#REF!</v>
      </c>
      <c r="O5" s="43" t="e">
        <f>Feuil1!#REF!</f>
        <v>#REF!</v>
      </c>
      <c r="Q5" s="30" t="s">
        <v>29</v>
      </c>
    </row>
    <row r="6" spans="2:17" ht="45" customHeight="1" thickBot="1" x14ac:dyDescent="0.3">
      <c r="B6" s="37" t="s">
        <v>24</v>
      </c>
      <c r="C6" s="39">
        <f>C4*3</f>
        <v>328.25</v>
      </c>
      <c r="D6" s="26">
        <f t="shared" ref="D6:J6" si="0">D4*3</f>
        <v>125.875</v>
      </c>
      <c r="E6" s="26">
        <f t="shared" si="0"/>
        <v>157.125</v>
      </c>
      <c r="F6" s="40">
        <f t="shared" si="0"/>
        <v>328.25</v>
      </c>
      <c r="G6" s="39">
        <f t="shared" si="0"/>
        <v>33.375</v>
      </c>
      <c r="H6" s="26">
        <f t="shared" si="0"/>
        <v>31.553750000000001</v>
      </c>
      <c r="I6" s="26">
        <f t="shared" si="0"/>
        <v>27.625</v>
      </c>
      <c r="J6" s="40">
        <f t="shared" si="0"/>
        <v>15.324999999999999</v>
      </c>
      <c r="K6" s="45" t="e">
        <f>K4*3</f>
        <v>#REF!</v>
      </c>
      <c r="L6" s="33" t="e">
        <f t="shared" ref="L6:O6" si="1">L4*3</f>
        <v>#REF!</v>
      </c>
      <c r="M6" s="33" t="e">
        <f t="shared" si="1"/>
        <v>#REF!</v>
      </c>
      <c r="N6" s="33" t="e">
        <f t="shared" si="1"/>
        <v>#REF!</v>
      </c>
      <c r="O6" s="40" t="e">
        <f t="shared" si="1"/>
        <v>#REF!</v>
      </c>
      <c r="Q6" s="28">
        <v>5</v>
      </c>
    </row>
    <row r="7" spans="2:17" ht="45" customHeight="1" x14ac:dyDescent="0.25">
      <c r="B7" s="37" t="s">
        <v>25</v>
      </c>
      <c r="C7" s="39">
        <f>C4*$Q$6</f>
        <v>547.08333333333337</v>
      </c>
      <c r="D7" s="26">
        <f t="shared" ref="D7:O7" si="2">D4*$Q$6</f>
        <v>209.79166666666669</v>
      </c>
      <c r="E7" s="26">
        <f t="shared" si="2"/>
        <v>261.875</v>
      </c>
      <c r="F7" s="40">
        <f t="shared" si="2"/>
        <v>547.08333333333337</v>
      </c>
      <c r="G7" s="39">
        <f t="shared" si="2"/>
        <v>55.625</v>
      </c>
      <c r="H7" s="26">
        <f t="shared" si="2"/>
        <v>52.58958333333333</v>
      </c>
      <c r="I7" s="26">
        <f t="shared" si="2"/>
        <v>46.041666666666671</v>
      </c>
      <c r="J7" s="40">
        <f t="shared" si="2"/>
        <v>25.541666666666668</v>
      </c>
      <c r="K7" s="39" t="e">
        <f t="shared" si="2"/>
        <v>#REF!</v>
      </c>
      <c r="L7" s="26" t="e">
        <f t="shared" si="2"/>
        <v>#REF!</v>
      </c>
      <c r="M7" s="26" t="e">
        <f t="shared" si="2"/>
        <v>#REF!</v>
      </c>
      <c r="N7" s="26" t="e">
        <f t="shared" si="2"/>
        <v>#REF!</v>
      </c>
      <c r="O7" s="40" t="e">
        <f t="shared" si="2"/>
        <v>#REF!</v>
      </c>
    </row>
    <row r="8" spans="2:17" ht="45" customHeight="1" x14ac:dyDescent="0.25">
      <c r="B8" s="37" t="s">
        <v>26</v>
      </c>
      <c r="C8" s="41">
        <f>C5/C4</f>
        <v>24</v>
      </c>
      <c r="D8" s="29">
        <f t="shared" ref="D8:O8" si="3">D5/D4</f>
        <v>24</v>
      </c>
      <c r="E8" s="29">
        <f t="shared" si="3"/>
        <v>24</v>
      </c>
      <c r="F8" s="42">
        <f t="shared" si="3"/>
        <v>24</v>
      </c>
      <c r="G8" s="41">
        <f t="shared" si="3"/>
        <v>24</v>
      </c>
      <c r="H8" s="29">
        <f t="shared" si="3"/>
        <v>24</v>
      </c>
      <c r="I8" s="29">
        <f t="shared" si="3"/>
        <v>24</v>
      </c>
      <c r="J8" s="42">
        <f t="shared" si="3"/>
        <v>24</v>
      </c>
      <c r="K8" s="41" t="e">
        <f t="shared" si="3"/>
        <v>#REF!</v>
      </c>
      <c r="L8" s="29" t="e">
        <f t="shared" si="3"/>
        <v>#REF!</v>
      </c>
      <c r="M8" s="29" t="e">
        <f t="shared" si="3"/>
        <v>#REF!</v>
      </c>
      <c r="N8" s="29" t="e">
        <f t="shared" si="3"/>
        <v>#REF!</v>
      </c>
      <c r="O8" s="42" t="e">
        <f t="shared" si="3"/>
        <v>#REF!</v>
      </c>
    </row>
    <row r="9" spans="2:17" ht="45" customHeight="1" thickBot="1" x14ac:dyDescent="0.3">
      <c r="B9" s="37" t="s">
        <v>27</v>
      </c>
      <c r="C9" s="48" t="str">
        <f>IF(C5&lt;C6,"ROUGE",IF(C5&lt;C7,"ORANGE","VERT"))</f>
        <v>VERT</v>
      </c>
      <c r="D9" s="49" t="str">
        <f t="shared" ref="D9:O9" si="4">IF(D5&lt;D6,"ROUGE",IF(D5&lt;D7,"ORANGE","VERT"))</f>
        <v>VERT</v>
      </c>
      <c r="E9" s="49" t="str">
        <f t="shared" si="4"/>
        <v>VERT</v>
      </c>
      <c r="F9" s="50" t="str">
        <f t="shared" si="4"/>
        <v>VERT</v>
      </c>
      <c r="G9" s="48" t="str">
        <f t="shared" si="4"/>
        <v>VERT</v>
      </c>
      <c r="H9" s="49" t="str">
        <f t="shared" si="4"/>
        <v>VERT</v>
      </c>
      <c r="I9" s="49" t="str">
        <f t="shared" si="4"/>
        <v>VERT</v>
      </c>
      <c r="J9" s="50" t="str">
        <f t="shared" si="4"/>
        <v>VERT</v>
      </c>
      <c r="K9" s="48" t="e">
        <f t="shared" si="4"/>
        <v>#REF!</v>
      </c>
      <c r="L9" s="49" t="e">
        <f t="shared" si="4"/>
        <v>#REF!</v>
      </c>
      <c r="M9" s="49" t="e">
        <f t="shared" si="4"/>
        <v>#REF!</v>
      </c>
      <c r="N9" s="49" t="e">
        <f t="shared" si="4"/>
        <v>#REF!</v>
      </c>
      <c r="O9" s="50" t="e">
        <f t="shared" si="4"/>
        <v>#REF!</v>
      </c>
    </row>
  </sheetData>
  <mergeCells count="3">
    <mergeCell ref="C2:F2"/>
    <mergeCell ref="G2:J2"/>
    <mergeCell ref="K2:O2"/>
  </mergeCells>
  <conditionalFormatting sqref="C9:O9">
    <cfRule type="containsText" dxfId="2" priority="1" operator="containsText" text="ORANGE">
      <formula>NOT(ISERROR(SEARCH("ORANGE",C9)))</formula>
    </cfRule>
    <cfRule type="containsText" dxfId="1" priority="2" operator="containsText" text="ROUGE">
      <formula>NOT(ISERROR(SEARCH("ROUGE",C9)))</formula>
    </cfRule>
    <cfRule type="containsText" dxfId="0" priority="3" operator="containsText" text="VERT">
      <formula>NOT(ISERROR(SEARCH("VERT",C9)))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Graphiques Analyse</vt:lpstr>
      <vt:lpstr>Feuille de calcul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BOURI</dc:creator>
  <cp:lastModifiedBy>Hanae Mahrach</cp:lastModifiedBy>
  <dcterms:created xsi:type="dcterms:W3CDTF">2026-04-28T10:59:10Z</dcterms:created>
  <dcterms:modified xsi:type="dcterms:W3CDTF">2026-05-16T12:41:59Z</dcterms:modified>
</cp:coreProperties>
</file>